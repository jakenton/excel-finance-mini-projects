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hilo\OneDrive\Documents\Power BI\Excel\Financial Analyst\"/>
    </mc:Choice>
  </mc:AlternateContent>
  <xr:revisionPtr revIDLastSave="0" documentId="13_ncr:1_{43BA8325-37C0-480A-90DA-4CA3CAAB06FB}" xr6:coauthVersionLast="47" xr6:coauthVersionMax="47" xr10:uidLastSave="{00000000-0000-0000-0000-000000000000}"/>
  <bookViews>
    <workbookView xWindow="-108" yWindow="-108" windowWidth="23256" windowHeight="12456" tabRatio="919" xr2:uid="{00000000-000D-0000-FFFF-FFFF00000000}"/>
  </bookViews>
  <sheets>
    <sheet name="How_It_Works" sheetId="1" r:id="rId1"/>
    <sheet name="Inputs" sheetId="13" r:id="rId2"/>
    <sheet name="Forecast_Table" sheetId="12" r:id="rId3"/>
    <sheet name="KPI_Summary" sheetId="14" r:id="rId4"/>
  </sheets>
  <calcPr calcId="181029"/>
</workbook>
</file>

<file path=xl/calcChain.xml><?xml version="1.0" encoding="utf-8"?>
<calcChain xmlns="http://schemas.openxmlformats.org/spreadsheetml/2006/main">
  <c r="F2" i="14" l="1"/>
  <c r="E2" i="14"/>
  <c r="D2" i="14"/>
  <c r="A2" i="14"/>
  <c r="C2" i="14"/>
  <c r="B2" i="14"/>
  <c r="D8" i="12"/>
  <c r="D2" i="12"/>
  <c r="D3" i="12"/>
  <c r="D4" i="12"/>
  <c r="D5" i="12"/>
  <c r="D6" i="12"/>
  <c r="D7" i="12"/>
  <c r="D9" i="12"/>
  <c r="D10" i="12"/>
  <c r="D11" i="12"/>
  <c r="D12" i="12"/>
  <c r="D13" i="12"/>
</calcChain>
</file>

<file path=xl/sharedStrings.xml><?xml version="1.0" encoding="utf-8"?>
<sst xmlns="http://schemas.openxmlformats.org/spreadsheetml/2006/main" count="33" uniqueCount="33">
  <si>
    <t>Actual</t>
  </si>
  <si>
    <t>Budget</t>
  </si>
  <si>
    <t>Last Closed Month</t>
  </si>
  <si>
    <t>Forecast</t>
  </si>
  <si>
    <t>Forecast Growth Assumption (%)</t>
  </si>
  <si>
    <t>Rolling Forecast (Excel)</t>
  </si>
  <si>
    <t>Month</t>
  </si>
  <si>
    <t>YTD Actual
(Closed Months)</t>
  </si>
  <si>
    <t>YTD Budget
(Closed Months)</t>
  </si>
  <si>
    <t>YTD Variance
(Actual - Budget)</t>
  </si>
  <si>
    <t>Full-year Forecast</t>
  </si>
  <si>
    <t>Full-year Budget</t>
  </si>
  <si>
    <t>Forecase vs Budget
(Full-year)</t>
  </si>
  <si>
    <t>Purpose</t>
  </si>
  <si>
    <t>All data is simulated.</t>
  </si>
  <si>
    <t>Quick Start</t>
  </si>
  <si>
    <t>Sheets (what they do)</t>
  </si>
  <si>
    <t>Inputs</t>
  </si>
  <si>
    <t>Key Excel Skills Demonstrated</t>
  </si>
  <si>
    <r>
      <t xml:space="preserve">This mini project demonstrates </t>
    </r>
    <r>
      <rPr>
        <b/>
        <sz val="11"/>
        <color theme="1"/>
        <rFont val="Calibri"/>
        <family val="2"/>
        <scheme val="minor"/>
      </rPr>
      <t>rolling forecast mechanics</t>
    </r>
    <r>
      <rPr>
        <sz val="11"/>
        <color theme="1"/>
        <rFont val="Calibri"/>
        <family val="2"/>
        <scheme val="minor"/>
      </rPr>
      <t xml:space="preserve"> in Excel using IF-based logic to lock actuals for closed months and dynamically forecast future periods. The emphasis is on </t>
    </r>
    <r>
      <rPr>
        <b/>
        <sz val="11"/>
        <color theme="1"/>
        <rFont val="Calibri"/>
        <family val="2"/>
        <scheme val="minor"/>
      </rPr>
      <t>correct forecasting behavior</t>
    </r>
    <r>
      <rPr>
        <sz val="11"/>
        <color theme="1"/>
        <rFont val="Calibri"/>
        <family val="2"/>
        <scheme val="minor"/>
      </rPr>
      <t>, not complex planning models.</t>
    </r>
  </si>
  <si>
    <r>
      <t xml:space="preserve">1) Open </t>
    </r>
    <r>
      <rPr>
        <b/>
        <sz val="11"/>
        <color theme="1"/>
        <rFont val="Calibri"/>
        <family val="2"/>
        <scheme val="minor"/>
      </rPr>
      <t>Inputs</t>
    </r>
    <r>
      <rPr>
        <sz val="11"/>
        <color theme="1"/>
        <rFont val="Calibri"/>
        <family val="2"/>
        <scheme val="minor"/>
      </rPr>
      <t xml:space="preserve"> and set the </t>
    </r>
    <r>
      <rPr>
        <i/>
        <sz val="11"/>
        <color theme="1"/>
        <rFont val="Calibri"/>
        <family val="2"/>
        <scheme val="minor"/>
      </rPr>
      <t>Last Closed Month</t>
    </r>
    <r>
      <rPr>
        <sz val="11"/>
        <color theme="1"/>
        <rFont val="Calibri"/>
        <family val="2"/>
        <scheme val="minor"/>
      </rPr>
      <t xml:space="preserve"> and growth assumption.</t>
    </r>
  </si>
  <si>
    <r>
      <t xml:space="preserve">2) Review </t>
    </r>
    <r>
      <rPr>
        <b/>
        <sz val="11"/>
        <color theme="1"/>
        <rFont val="Calibri"/>
        <family val="2"/>
        <scheme val="minor"/>
      </rPr>
      <t>Forecast_Table</t>
    </r>
    <r>
      <rPr>
        <sz val="11"/>
        <color theme="1"/>
        <rFont val="Calibri"/>
        <family val="2"/>
        <scheme val="minor"/>
      </rPr>
      <t xml:space="preserve"> to see how actuals replace forecasts for closed months.</t>
    </r>
  </si>
  <si>
    <t>3) Observe how forecast values update automatically for open months.</t>
  </si>
  <si>
    <t>4) Review the line chart to see actual, budget, and forecast visually differentiated.</t>
  </si>
  <si>
    <t>User-controlled assumptions including last closed month and growth rate.</t>
  </si>
  <si>
    <t>Forecast_Table</t>
  </si>
  <si>
    <t>Core calculation table using IF logic to:
 - Use actuals for closed months
 - Apply growth assumptions to future months</t>
  </si>
  <si>
    <t>KPI_Summary</t>
  </si>
  <si>
    <t>Simple rollups showing YTD actuals, YTD budgets, full-year forecast, and variances.</t>
  </si>
  <si>
    <t xml:space="preserve"> - Separation of inputs and calculations</t>
  </si>
  <si>
    <t xml:space="preserve"> - IF-based rolling forecast logic</t>
  </si>
  <si>
    <t xml:space="preserve"> - Correct handling of closed vs open periods</t>
  </si>
  <si>
    <t xml:space="preserve"> - Finance-standard charting conventions (overlapping actual/forecast by design)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</si>
</sst>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[$-409]mmm\-yy;@"/>
    <numFmt numFmtId="166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3" fillId="3" borderId="0" xfId="0" applyFont="1" applyFill="1"/>
    <xf numFmtId="165" fontId="0" fillId="4" borderId="0" xfId="0" applyNumberFormat="1" applyFill="1"/>
    <xf numFmtId="164" fontId="0" fillId="4" borderId="0" xfId="2" applyNumberFormat="1" applyFont="1" applyFill="1"/>
    <xf numFmtId="0" fontId="4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left" vertical="center" wrapText="1"/>
    </xf>
    <xf numFmtId="165" fontId="0" fillId="0" borderId="2" xfId="0" applyNumberFormat="1" applyBorder="1" applyAlignment="1">
      <alignment horizontal="left" vertical="center" wrapText="1"/>
    </xf>
    <xf numFmtId="166" fontId="0" fillId="0" borderId="1" xfId="0" applyNumberFormat="1" applyBorder="1" applyAlignment="1">
      <alignment horizontal="left" vertical="center"/>
    </xf>
    <xf numFmtId="166" fontId="0" fillId="0" borderId="2" xfId="0" applyNumberFormat="1" applyBorder="1" applyAlignment="1">
      <alignment horizontal="left" vertical="center"/>
    </xf>
    <xf numFmtId="166" fontId="0" fillId="0" borderId="1" xfId="1" applyNumberFormat="1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166" fontId="0" fillId="0" borderId="0" xfId="1" applyNumberFormat="1" applyFont="1"/>
    <xf numFmtId="0" fontId="5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12"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alignment horizontal="center" vertical="center" textRotation="0" wrapText="1" indent="0" justifyLastLine="0" shrinkToFit="0" readingOrder="0"/>
    </dxf>
    <dxf>
      <numFmt numFmtId="166" formatCode="&quot;$&quot;#,##0.00"/>
      <border outline="0">
        <left style="thin">
          <color rgb="FFA0A0A0"/>
        </left>
      </border>
    </dxf>
    <dxf>
      <numFmt numFmtId="166" formatCode="&quot;$&quot;#,##0.00"/>
      <border outline="0">
        <left style="thin">
          <color rgb="FFA0A0A0"/>
        </left>
        <right style="thin">
          <color rgb="FFA0A0A0"/>
        </right>
      </border>
    </dxf>
    <dxf>
      <numFmt numFmtId="166" formatCode="&quot;$&quot;#,##0.00"/>
      <border outline="0">
        <right style="thin">
          <color rgb="FFA0A0A0"/>
        </right>
      </border>
    </dxf>
    <dxf>
      <numFmt numFmtId="165" formatCode="[$-409]mmm\-yy;@"/>
      <border outline="0">
        <right style="thin">
          <color rgb="FFA0A0A0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Actual,</a:t>
            </a:r>
            <a:r>
              <a:rPr lang="en-US" baseline="0"/>
              <a:t> Budget, and Rolling Forecast (Monthly)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Forecast_Table!$B$1</c:f>
              <c:strCache>
                <c:ptCount val="1"/>
                <c:pt idx="0">
                  <c:v>Budget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Forecast_Table!$A$2:$A$13</c:f>
              <c:numCache>
                <c:formatCode>[$-409]mmm\-yy;@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Forecast_Table!$B$2:$B$13</c:f>
              <c:numCache>
                <c:formatCode>"$"#,##0.00</c:formatCode>
                <c:ptCount val="12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>
                  <c:v>100000</c:v>
                </c:pt>
                <c:pt idx="8">
                  <c:v>100000</c:v>
                </c:pt>
                <c:pt idx="9">
                  <c:v>100000</c:v>
                </c:pt>
                <c:pt idx="10">
                  <c:v>100000</c:v>
                </c:pt>
                <c:pt idx="11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C-4E1F-B1B1-21A9FD6EA9BC}"/>
            </c:ext>
          </c:extLst>
        </c:ser>
        <c:ser>
          <c:idx val="1"/>
          <c:order val="1"/>
          <c:tx>
            <c:strRef>
              <c:f>Forecast_Table!$C$1</c:f>
              <c:strCache>
                <c:ptCount val="1"/>
                <c:pt idx="0">
                  <c:v>Actual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Forecast_Table!$A$2:$A$13</c:f>
              <c:numCache>
                <c:formatCode>[$-409]mmm\-yy;@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Forecast_Table!$C$2:$C$13</c:f>
              <c:numCache>
                <c:formatCode>"$"#,##0.00</c:formatCode>
                <c:ptCount val="12"/>
                <c:pt idx="0">
                  <c:v>98500</c:v>
                </c:pt>
                <c:pt idx="1">
                  <c:v>101200</c:v>
                </c:pt>
                <c:pt idx="2">
                  <c:v>99800</c:v>
                </c:pt>
                <c:pt idx="3">
                  <c:v>102000</c:v>
                </c:pt>
                <c:pt idx="4">
                  <c:v>100900</c:v>
                </c:pt>
                <c:pt idx="5">
                  <c:v>101500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C-4E1F-B1B1-21A9FD6EA9BC}"/>
            </c:ext>
          </c:extLst>
        </c:ser>
        <c:ser>
          <c:idx val="2"/>
          <c:order val="2"/>
          <c:tx>
            <c:strRef>
              <c:f>Forecast_Table!$D$1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chemeClr val="tx2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numRef>
              <c:f>Forecast_Table!$A$2:$A$13</c:f>
              <c:numCache>
                <c:formatCode>[$-409]mmm\-yy;@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Forecast_Table!$D$2:$D$13</c:f>
              <c:numCache>
                <c:formatCode>"$"#,##0.00</c:formatCode>
                <c:ptCount val="12"/>
                <c:pt idx="0">
                  <c:v>98500</c:v>
                </c:pt>
                <c:pt idx="1">
                  <c:v>101200</c:v>
                </c:pt>
                <c:pt idx="2">
                  <c:v>99800</c:v>
                </c:pt>
                <c:pt idx="3">
                  <c:v>102000</c:v>
                </c:pt>
                <c:pt idx="4">
                  <c:v>100900</c:v>
                </c:pt>
                <c:pt idx="5">
                  <c:v>101500</c:v>
                </c:pt>
                <c:pt idx="6">
                  <c:v>103000</c:v>
                </c:pt>
                <c:pt idx="7">
                  <c:v>103000</c:v>
                </c:pt>
                <c:pt idx="8">
                  <c:v>103000</c:v>
                </c:pt>
                <c:pt idx="9">
                  <c:v>103000</c:v>
                </c:pt>
                <c:pt idx="10">
                  <c:v>103000</c:v>
                </c:pt>
                <c:pt idx="11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5C-4E1F-B1B1-21A9FD6EA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854880"/>
        <c:axId val="333855840"/>
      </c:lineChart>
      <c:dateAx>
        <c:axId val="333854880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55840"/>
        <c:crosses val="autoZero"/>
        <c:auto val="1"/>
        <c:lblOffset val="100"/>
        <c:baseTimeUnit val="months"/>
      </c:dateAx>
      <c:valAx>
        <c:axId val="33385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5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179070</xdr:rowOff>
    </xdr:from>
    <xdr:to>
      <xdr:col>11</xdr:col>
      <xdr:colOff>228600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FE05E-9E3D-65BF-6738-54DDA339C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AAD4B7-0C2E-4612-A580-7A30CE230DC0}" name="tblDept" displayName="tblDept" ref="A1:D13">
  <tableColumns count="4">
    <tableColumn id="1" xr3:uid="{371B8DE4-8BFA-49B9-9881-219EEFF05B64}" name="Month" dataDxfId="11"/>
    <tableColumn id="2" xr3:uid="{A523ED87-3530-43C7-ADE0-E8ADC31F0DFA}" name="Budget" dataDxfId="10" dataCellStyle="Currency"/>
    <tableColumn id="3" xr3:uid="{73A98B62-D247-43D0-BEC0-2DCFE7EC1BCB}" name="Actual" dataDxfId="9"/>
    <tableColumn id="4" xr3:uid="{310E856A-2AC6-48A2-B9AC-363BCDECC398}" name="Forecast" dataDxfId="8">
      <calculatedColumnFormula>IF(A2 &lt;= Inputs!$B$1, C2, B2 * (1 + Inputs!$B$2))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A6948E-272B-45C7-B5FB-11455F9B3B4C}" name="Table2" displayName="Table2" ref="A1:F2" totalsRowShown="0" headerRowDxfId="7" dataDxfId="6" dataCellStyle="Currency">
  <autoFilter ref="A1:F2" xr:uid="{A6A6948E-272B-45C7-B5FB-11455F9B3B4C}"/>
  <tableColumns count="6">
    <tableColumn id="1" xr3:uid="{D8ACFAA3-A2DC-4B9C-A562-0963E3436DF0}" name="YTD Actual_x000a_(Closed Months)" dataDxfId="5" dataCellStyle="Currency">
      <calculatedColumnFormula>SUMIFS(Forecast_Table!$C$2:$C$13,Forecast_Table!$A$2:$A$13,"&lt;="&amp;Inputs!$B$1)</calculatedColumnFormula>
    </tableColumn>
    <tableColumn id="2" xr3:uid="{0BFB23F2-648F-4087-A293-641F830B1FDB}" name="YTD Budget_x000a_(Closed Months)" dataDxfId="4" dataCellStyle="Currency">
      <calculatedColumnFormula>SUMIFS(Forecast_Table!$B$2:$B$13,Forecast_Table!$A$2:$A$13,"&lt;="&amp;Inputs!$B$1)</calculatedColumnFormula>
    </tableColumn>
    <tableColumn id="3" xr3:uid="{070B446F-C409-4805-864D-80A0890003CE}" name="YTD Variance_x000a_(Actual - Budget)" dataDxfId="3" dataCellStyle="Currency">
      <calculatedColumnFormula>A2-B2</calculatedColumnFormula>
    </tableColumn>
    <tableColumn id="4" xr3:uid="{B0EDC522-3DCC-4D3E-A541-1E68679F7E1F}" name="Full-year Forecast" dataDxfId="2" dataCellStyle="Currency">
      <calculatedColumnFormula>SUM(Forecast_Table!$D$2:$D$13)</calculatedColumnFormula>
    </tableColumn>
    <tableColumn id="5" xr3:uid="{1521C394-DC54-4A11-B367-787660A419A2}" name="Full-year Budget" dataDxfId="1" dataCellStyle="Currency">
      <calculatedColumnFormula>SUM(Forecast_Table!$B$2:$B$13)</calculatedColumnFormula>
    </tableColumn>
    <tableColumn id="6" xr3:uid="{90B9927B-E9D5-453D-9811-7E238AEACF64}" name="Forecase vs Budget_x000a_(Full-year)" dataDxfId="0" dataCellStyle="Currency">
      <calculatedColumnFormula>D2 - 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4.4" x14ac:dyDescent="0.3"/>
  <cols>
    <col min="1" max="1" width="70.6640625" customWidth="1"/>
    <col min="2" max="2" width="95" customWidth="1"/>
  </cols>
  <sheetData>
    <row r="1" spans="1:2" ht="21" x14ac:dyDescent="0.3">
      <c r="A1" s="1" t="s">
        <v>5</v>
      </c>
    </row>
    <row r="3" spans="1:2" x14ac:dyDescent="0.3">
      <c r="A3" s="14" t="s">
        <v>13</v>
      </c>
    </row>
    <row r="4" spans="1:2" x14ac:dyDescent="0.3">
      <c r="A4" t="s">
        <v>19</v>
      </c>
    </row>
    <row r="5" spans="1:2" x14ac:dyDescent="0.3">
      <c r="A5" t="s">
        <v>14</v>
      </c>
    </row>
    <row r="7" spans="1:2" x14ac:dyDescent="0.3">
      <c r="A7" s="14" t="s">
        <v>15</v>
      </c>
    </row>
    <row r="8" spans="1:2" x14ac:dyDescent="0.3">
      <c r="A8" t="s">
        <v>20</v>
      </c>
    </row>
    <row r="9" spans="1:2" x14ac:dyDescent="0.3">
      <c r="A9" t="s">
        <v>21</v>
      </c>
    </row>
    <row r="10" spans="1:2" x14ac:dyDescent="0.3">
      <c r="A10" t="s">
        <v>22</v>
      </c>
    </row>
    <row r="11" spans="1:2" x14ac:dyDescent="0.3">
      <c r="A11" t="s">
        <v>23</v>
      </c>
    </row>
    <row r="13" spans="1:2" x14ac:dyDescent="0.3">
      <c r="A13" s="14" t="s">
        <v>16</v>
      </c>
    </row>
    <row r="14" spans="1:2" x14ac:dyDescent="0.3">
      <c r="A14" s="14" t="s">
        <v>17</v>
      </c>
      <c r="B14" t="s">
        <v>24</v>
      </c>
    </row>
    <row r="15" spans="1:2" ht="43.2" x14ac:dyDescent="0.3">
      <c r="A15" s="14" t="s">
        <v>25</v>
      </c>
      <c r="B15" s="2" t="s">
        <v>26</v>
      </c>
    </row>
    <row r="16" spans="1:2" x14ac:dyDescent="0.3">
      <c r="A16" s="14" t="s">
        <v>27</v>
      </c>
      <c r="B16" t="s">
        <v>28</v>
      </c>
    </row>
    <row r="18" spans="1:1" x14ac:dyDescent="0.3">
      <c r="A18" s="14" t="s">
        <v>18</v>
      </c>
    </row>
    <row r="19" spans="1:1" x14ac:dyDescent="0.3">
      <c r="A19" t="s">
        <v>30</v>
      </c>
    </row>
    <row r="20" spans="1:1" x14ac:dyDescent="0.3">
      <c r="A20" t="s">
        <v>29</v>
      </c>
    </row>
    <row r="21" spans="1:1" x14ac:dyDescent="0.3">
      <c r="A21" t="s">
        <v>31</v>
      </c>
    </row>
    <row r="22" spans="1:1" x14ac:dyDescent="0.3">
      <c r="A22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F0D4-CA3B-4FE5-A11D-0397F27A1E48}">
  <dimension ref="A1:B2"/>
  <sheetViews>
    <sheetView workbookViewId="0">
      <selection activeCell="B3" sqref="B3"/>
    </sheetView>
  </sheetViews>
  <sheetFormatPr defaultRowHeight="14.4" x14ac:dyDescent="0.3"/>
  <cols>
    <col min="1" max="1" width="28.6640625" bestFit="1" customWidth="1"/>
    <col min="2" max="2" width="9.77734375" customWidth="1"/>
  </cols>
  <sheetData>
    <row r="1" spans="1:2" x14ac:dyDescent="0.3">
      <c r="A1" s="3" t="s">
        <v>2</v>
      </c>
      <c r="B1" s="4">
        <v>45809</v>
      </c>
    </row>
    <row r="2" spans="1:2" x14ac:dyDescent="0.3">
      <c r="A2" s="3" t="s">
        <v>4</v>
      </c>
      <c r="B2" s="5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F349-63FC-4628-A9CA-361B22A0E767}">
  <dimension ref="A1:F13"/>
  <sheetViews>
    <sheetView topLeftCell="B1" workbookViewId="0">
      <selection activeCell="N5" sqref="N5"/>
    </sheetView>
  </sheetViews>
  <sheetFormatPr defaultRowHeight="14.4" x14ac:dyDescent="0.3"/>
  <cols>
    <col min="1" max="4" width="17.109375" customWidth="1"/>
    <col min="6" max="6" width="18.88671875" customWidth="1"/>
  </cols>
  <sheetData>
    <row r="1" spans="1:6" x14ac:dyDescent="0.3">
      <c r="A1" s="6" t="s">
        <v>6</v>
      </c>
      <c r="B1" s="6" t="s">
        <v>1</v>
      </c>
      <c r="C1" s="6" t="s">
        <v>0</v>
      </c>
      <c r="D1" s="6" t="s">
        <v>3</v>
      </c>
    </row>
    <row r="2" spans="1:6" x14ac:dyDescent="0.3">
      <c r="A2" s="7">
        <v>45658</v>
      </c>
      <c r="B2" s="11">
        <v>100000</v>
      </c>
      <c r="C2" s="9">
        <v>98500</v>
      </c>
      <c r="D2" s="9">
        <f>IF(A2 &lt;= Inputs!$B$1, C2, B2 * (1 + Inputs!$B$2))</f>
        <v>98500</v>
      </c>
      <c r="F2" s="12"/>
    </row>
    <row r="3" spans="1:6" x14ac:dyDescent="0.3">
      <c r="A3" s="7">
        <v>45689</v>
      </c>
      <c r="B3" s="11">
        <v>100000</v>
      </c>
      <c r="C3" s="9">
        <v>101200</v>
      </c>
      <c r="D3" s="9">
        <f>IF(A3 &lt;= Inputs!$B$1, C3, B3 * (1 + Inputs!$B$2))</f>
        <v>101200</v>
      </c>
    </row>
    <row r="4" spans="1:6" x14ac:dyDescent="0.3">
      <c r="A4" s="7">
        <v>45717</v>
      </c>
      <c r="B4" s="11">
        <v>100000</v>
      </c>
      <c r="C4" s="9">
        <v>99800</v>
      </c>
      <c r="D4" s="9">
        <f>IF(A4 &lt;= Inputs!$B$1, C4, B4 * (1 + Inputs!$B$2))</f>
        <v>99800</v>
      </c>
    </row>
    <row r="5" spans="1:6" x14ac:dyDescent="0.3">
      <c r="A5" s="7">
        <v>45748</v>
      </c>
      <c r="B5" s="11">
        <v>100000</v>
      </c>
      <c r="C5" s="9">
        <v>102000</v>
      </c>
      <c r="D5" s="9">
        <f>IF(A5 &lt;= Inputs!$B$1, C5, B5 * (1 + Inputs!$B$2))</f>
        <v>102000</v>
      </c>
    </row>
    <row r="6" spans="1:6" x14ac:dyDescent="0.3">
      <c r="A6" s="7">
        <v>45778</v>
      </c>
      <c r="B6" s="11">
        <v>100000</v>
      </c>
      <c r="C6" s="9">
        <v>100900</v>
      </c>
      <c r="D6" s="9">
        <f>IF(A6 &lt;= Inputs!$B$1, C6, B6 * (1 + Inputs!$B$2))</f>
        <v>100900</v>
      </c>
    </row>
    <row r="7" spans="1:6" x14ac:dyDescent="0.3">
      <c r="A7" s="7">
        <v>45809</v>
      </c>
      <c r="B7" s="11">
        <v>100000</v>
      </c>
      <c r="C7" s="9">
        <v>101500</v>
      </c>
      <c r="D7" s="9">
        <f>IF(A7 &lt;= Inputs!$B$1, C7, B7 * (1 + Inputs!$B$2))</f>
        <v>101500</v>
      </c>
    </row>
    <row r="8" spans="1:6" x14ac:dyDescent="0.3">
      <c r="A8" s="7">
        <v>45839</v>
      </c>
      <c r="B8" s="11">
        <v>100000</v>
      </c>
      <c r="C8" s="9"/>
      <c r="D8" s="9">
        <f>IF(A8 &lt;= Inputs!$B$1, C8, B8 * (1 + Inputs!$B$2))</f>
        <v>103000</v>
      </c>
    </row>
    <row r="9" spans="1:6" x14ac:dyDescent="0.3">
      <c r="A9" s="7">
        <v>45870</v>
      </c>
      <c r="B9" s="11">
        <v>100000</v>
      </c>
      <c r="C9" s="9"/>
      <c r="D9" s="9">
        <f>IF(A9 &lt;= Inputs!$B$1, C9, B9 * (1 + Inputs!$B$2))</f>
        <v>103000</v>
      </c>
    </row>
    <row r="10" spans="1:6" x14ac:dyDescent="0.3">
      <c r="A10" s="7">
        <v>45901</v>
      </c>
      <c r="B10" s="11">
        <v>100000</v>
      </c>
      <c r="C10" s="9"/>
      <c r="D10" s="9">
        <f>IF(A10 &lt;= Inputs!$B$1, C10, B10 * (1 + Inputs!$B$2))</f>
        <v>103000</v>
      </c>
    </row>
    <row r="11" spans="1:6" x14ac:dyDescent="0.3">
      <c r="A11" s="7">
        <v>45931</v>
      </c>
      <c r="B11" s="11">
        <v>100000</v>
      </c>
      <c r="C11" s="9"/>
      <c r="D11" s="9">
        <f>IF(A11 &lt;= Inputs!$B$1, C11, B11 * (1 + Inputs!$B$2))</f>
        <v>103000</v>
      </c>
    </row>
    <row r="12" spans="1:6" x14ac:dyDescent="0.3">
      <c r="A12" s="7">
        <v>45962</v>
      </c>
      <c r="B12" s="11">
        <v>100000</v>
      </c>
      <c r="C12" s="9"/>
      <c r="D12" s="9">
        <f>IF(A12 &lt;= Inputs!$B$1, C12, B12 * (1 + Inputs!$B$2))</f>
        <v>103000</v>
      </c>
    </row>
    <row r="13" spans="1:6" x14ac:dyDescent="0.3">
      <c r="A13" s="8">
        <v>45992</v>
      </c>
      <c r="B13" s="11">
        <v>100000</v>
      </c>
      <c r="C13" s="10"/>
      <c r="D13" s="9">
        <f>IF(A13 &lt;= Inputs!$B$1, C13, B13 * (1 + Inputs!$B$2))</f>
        <v>103000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C299-7B44-4CAC-B20A-D62FBA15D414}">
  <dimension ref="A1:F2"/>
  <sheetViews>
    <sheetView workbookViewId="0">
      <selection activeCell="C25" sqref="C25"/>
    </sheetView>
  </sheetViews>
  <sheetFormatPr defaultRowHeight="14.4" x14ac:dyDescent="0.3"/>
  <cols>
    <col min="1" max="3" width="16.21875" customWidth="1"/>
    <col min="4" max="4" width="17.5546875" customWidth="1"/>
    <col min="5" max="5" width="16.5546875" customWidth="1"/>
    <col min="6" max="6" width="16.21875" customWidth="1"/>
  </cols>
  <sheetData>
    <row r="1" spans="1:6" ht="43.2" x14ac:dyDescent="0.3">
      <c r="A1" s="12" t="s">
        <v>7</v>
      </c>
      <c r="B1" s="12" t="s">
        <v>8</v>
      </c>
      <c r="C1" s="12" t="s">
        <v>9</v>
      </c>
      <c r="D1" s="12" t="s">
        <v>10</v>
      </c>
      <c r="E1" s="12" t="s">
        <v>11</v>
      </c>
      <c r="F1" s="12" t="s">
        <v>12</v>
      </c>
    </row>
    <row r="2" spans="1:6" x14ac:dyDescent="0.3">
      <c r="A2" s="13">
        <f>SUMIFS(Forecast_Table!$C$2:$C$13,Forecast_Table!$A$2:$A$13,"&lt;="&amp;Inputs!$B$1)</f>
        <v>603900</v>
      </c>
      <c r="B2" s="13">
        <f>SUMIFS(Forecast_Table!$B$2:$B$13,Forecast_Table!$A$2:$A$13,"&lt;="&amp;Inputs!$B$1)</f>
        <v>600000</v>
      </c>
      <c r="C2" s="13">
        <f>A2-B2</f>
        <v>3900</v>
      </c>
      <c r="D2" s="13">
        <f>SUM(Forecast_Table!$D$2:$D$13)</f>
        <v>1221900</v>
      </c>
      <c r="E2" s="13">
        <f>SUM(Forecast_Table!$B$2:$B$13)</f>
        <v>1200000</v>
      </c>
      <c r="F2" s="13">
        <f>D2 - E2</f>
        <v>21900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How_It_Works</vt:lpstr>
      <vt:lpstr>Inputs</vt:lpstr>
      <vt:lpstr>Forecast_Table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 Kenton</cp:lastModifiedBy>
  <dcterms:created xsi:type="dcterms:W3CDTF">2026-01-07T19:41:06Z</dcterms:created>
  <dcterms:modified xsi:type="dcterms:W3CDTF">2026-01-12T22:06:56Z</dcterms:modified>
</cp:coreProperties>
</file>