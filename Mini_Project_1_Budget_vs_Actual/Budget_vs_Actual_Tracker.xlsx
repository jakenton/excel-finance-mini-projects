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hilo\OneDrive\Documents\Power BI\Excel\Financial Analyst\excel-finance-mini-projects\Mini_Project_1_Budget_vs_Actual\"/>
    </mc:Choice>
  </mc:AlternateContent>
  <xr:revisionPtr revIDLastSave="0" documentId="13_ncr:1_{1CD81E23-47D6-4EF9-882B-6799C631F671}" xr6:coauthVersionLast="47" xr6:coauthVersionMax="47" xr10:uidLastSave="{00000000-0000-0000-0000-000000000000}"/>
  <bookViews>
    <workbookView minimized="1" xWindow="25305" yWindow="-9495" windowWidth="17280" windowHeight="8880" tabRatio="725" firstSheet="1" activeTab="8" xr2:uid="{00000000-000D-0000-FFFF-FFFF00000000}"/>
  </bookViews>
  <sheets>
    <sheet name="Project_Notes" sheetId="13" r:id="rId1"/>
    <sheet name="Inputs" sheetId="11" r:id="rId2"/>
    <sheet name="Fact_Finance_Long" sheetId="7" r:id="rId3"/>
    <sheet name="Ref_Department" sheetId="3" r:id="rId4"/>
    <sheet name="Ref_GLAccount" sheetId="4" r:id="rId5"/>
    <sheet name="Ref_Date" sheetId="5" r:id="rId6"/>
    <sheet name="Dashboard_Summary" sheetId="8" r:id="rId7"/>
    <sheet name="Pivot_Instructions" sheetId="10" r:id="rId8"/>
    <sheet name="Pivots" sheetId="12" r:id="rId9"/>
  </sheets>
  <calcPr calcId="181029"/>
  <pivotCaches>
    <pivotCache cacheId="0" r:id="rId10"/>
  </pivotCaches>
</workbook>
</file>

<file path=xl/calcChain.xml><?xml version="1.0" encoding="utf-8"?>
<calcChain xmlns="http://schemas.openxmlformats.org/spreadsheetml/2006/main">
  <c r="B7" i="8" l="1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E4" i="8"/>
  <c r="B5" i="8" l="1"/>
  <c r="B4" i="8"/>
  <c r="G961" i="7" l="1"/>
  <c r="F961" i="7"/>
  <c r="D961" i="7"/>
  <c r="G960" i="7"/>
  <c r="F960" i="7"/>
  <c r="D960" i="7"/>
  <c r="G959" i="7"/>
  <c r="F959" i="7"/>
  <c r="D959" i="7"/>
  <c r="G958" i="7"/>
  <c r="F958" i="7"/>
  <c r="D958" i="7"/>
  <c r="G957" i="7"/>
  <c r="F957" i="7"/>
  <c r="D957" i="7"/>
  <c r="G956" i="7"/>
  <c r="F956" i="7"/>
  <c r="D956" i="7"/>
  <c r="G955" i="7"/>
  <c r="F955" i="7"/>
  <c r="D955" i="7"/>
  <c r="G954" i="7"/>
  <c r="F954" i="7"/>
  <c r="D954" i="7"/>
  <c r="G953" i="7"/>
  <c r="F953" i="7"/>
  <c r="D953" i="7"/>
  <c r="G952" i="7"/>
  <c r="F952" i="7"/>
  <c r="D952" i="7"/>
  <c r="G951" i="7"/>
  <c r="F951" i="7"/>
  <c r="D951" i="7"/>
  <c r="G950" i="7"/>
  <c r="F950" i="7"/>
  <c r="D950" i="7"/>
  <c r="G949" i="7"/>
  <c r="F949" i="7"/>
  <c r="D949" i="7"/>
  <c r="G948" i="7"/>
  <c r="F948" i="7"/>
  <c r="D948" i="7"/>
  <c r="G947" i="7"/>
  <c r="F947" i="7"/>
  <c r="D947" i="7"/>
  <c r="G946" i="7"/>
  <c r="F946" i="7"/>
  <c r="D946" i="7"/>
  <c r="G945" i="7"/>
  <c r="F945" i="7"/>
  <c r="D945" i="7"/>
  <c r="G944" i="7"/>
  <c r="F944" i="7"/>
  <c r="D944" i="7"/>
  <c r="G943" i="7"/>
  <c r="F943" i="7"/>
  <c r="D943" i="7"/>
  <c r="G942" i="7"/>
  <c r="F942" i="7"/>
  <c r="D942" i="7"/>
  <c r="G941" i="7"/>
  <c r="F941" i="7"/>
  <c r="D941" i="7"/>
  <c r="G940" i="7"/>
  <c r="F940" i="7"/>
  <c r="D940" i="7"/>
  <c r="G939" i="7"/>
  <c r="F939" i="7"/>
  <c r="D939" i="7"/>
  <c r="G938" i="7"/>
  <c r="F938" i="7"/>
  <c r="D938" i="7"/>
  <c r="G937" i="7"/>
  <c r="F937" i="7"/>
  <c r="D937" i="7"/>
  <c r="G936" i="7"/>
  <c r="F936" i="7"/>
  <c r="D936" i="7"/>
  <c r="G935" i="7"/>
  <c r="F935" i="7"/>
  <c r="D935" i="7"/>
  <c r="G934" i="7"/>
  <c r="F934" i="7"/>
  <c r="D934" i="7"/>
  <c r="G933" i="7"/>
  <c r="F933" i="7"/>
  <c r="D933" i="7"/>
  <c r="G932" i="7"/>
  <c r="F932" i="7"/>
  <c r="D932" i="7"/>
  <c r="G931" i="7"/>
  <c r="F931" i="7"/>
  <c r="D931" i="7"/>
  <c r="G930" i="7"/>
  <c r="F930" i="7"/>
  <c r="D930" i="7"/>
  <c r="G929" i="7"/>
  <c r="F929" i="7"/>
  <c r="D929" i="7"/>
  <c r="G928" i="7"/>
  <c r="F928" i="7"/>
  <c r="D928" i="7"/>
  <c r="G927" i="7"/>
  <c r="F927" i="7"/>
  <c r="D927" i="7"/>
  <c r="G926" i="7"/>
  <c r="F926" i="7"/>
  <c r="D926" i="7"/>
  <c r="G925" i="7"/>
  <c r="F925" i="7"/>
  <c r="D925" i="7"/>
  <c r="G924" i="7"/>
  <c r="F924" i="7"/>
  <c r="D924" i="7"/>
  <c r="G923" i="7"/>
  <c r="F923" i="7"/>
  <c r="D923" i="7"/>
  <c r="G922" i="7"/>
  <c r="F922" i="7"/>
  <c r="D922" i="7"/>
  <c r="G921" i="7"/>
  <c r="F921" i="7"/>
  <c r="D921" i="7"/>
  <c r="G920" i="7"/>
  <c r="F920" i="7"/>
  <c r="D920" i="7"/>
  <c r="G919" i="7"/>
  <c r="F919" i="7"/>
  <c r="D919" i="7"/>
  <c r="G918" i="7"/>
  <c r="F918" i="7"/>
  <c r="D918" i="7"/>
  <c r="G917" i="7"/>
  <c r="F917" i="7"/>
  <c r="D917" i="7"/>
  <c r="G916" i="7"/>
  <c r="F916" i="7"/>
  <c r="D916" i="7"/>
  <c r="G915" i="7"/>
  <c r="F915" i="7"/>
  <c r="D915" i="7"/>
  <c r="G914" i="7"/>
  <c r="F914" i="7"/>
  <c r="D914" i="7"/>
  <c r="G913" i="7"/>
  <c r="F913" i="7"/>
  <c r="D913" i="7"/>
  <c r="G912" i="7"/>
  <c r="F912" i="7"/>
  <c r="D912" i="7"/>
  <c r="G911" i="7"/>
  <c r="F911" i="7"/>
  <c r="D911" i="7"/>
  <c r="G910" i="7"/>
  <c r="F910" i="7"/>
  <c r="D910" i="7"/>
  <c r="G909" i="7"/>
  <c r="F909" i="7"/>
  <c r="D909" i="7"/>
  <c r="G908" i="7"/>
  <c r="F908" i="7"/>
  <c r="D908" i="7"/>
  <c r="G907" i="7"/>
  <c r="F907" i="7"/>
  <c r="D907" i="7"/>
  <c r="G906" i="7"/>
  <c r="F906" i="7"/>
  <c r="D906" i="7"/>
  <c r="G905" i="7"/>
  <c r="F905" i="7"/>
  <c r="D905" i="7"/>
  <c r="G904" i="7"/>
  <c r="F904" i="7"/>
  <c r="D904" i="7"/>
  <c r="G903" i="7"/>
  <c r="F903" i="7"/>
  <c r="D903" i="7"/>
  <c r="G902" i="7"/>
  <c r="F902" i="7"/>
  <c r="D902" i="7"/>
  <c r="G901" i="7"/>
  <c r="F901" i="7"/>
  <c r="D901" i="7"/>
  <c r="G900" i="7"/>
  <c r="F900" i="7"/>
  <c r="D900" i="7"/>
  <c r="G899" i="7"/>
  <c r="F899" i="7"/>
  <c r="D899" i="7"/>
  <c r="G898" i="7"/>
  <c r="F898" i="7"/>
  <c r="D898" i="7"/>
  <c r="G897" i="7"/>
  <c r="F897" i="7"/>
  <c r="D897" i="7"/>
  <c r="G896" i="7"/>
  <c r="F896" i="7"/>
  <c r="D896" i="7"/>
  <c r="G895" i="7"/>
  <c r="F895" i="7"/>
  <c r="D895" i="7"/>
  <c r="G894" i="7"/>
  <c r="F894" i="7"/>
  <c r="D894" i="7"/>
  <c r="G893" i="7"/>
  <c r="F893" i="7"/>
  <c r="D893" i="7"/>
  <c r="G892" i="7"/>
  <c r="F892" i="7"/>
  <c r="D892" i="7"/>
  <c r="G891" i="7"/>
  <c r="F891" i="7"/>
  <c r="D891" i="7"/>
  <c r="G890" i="7"/>
  <c r="F890" i="7"/>
  <c r="D890" i="7"/>
  <c r="G889" i="7"/>
  <c r="F889" i="7"/>
  <c r="D889" i="7"/>
  <c r="G888" i="7"/>
  <c r="F888" i="7"/>
  <c r="D888" i="7"/>
  <c r="G887" i="7"/>
  <c r="F887" i="7"/>
  <c r="D887" i="7"/>
  <c r="G886" i="7"/>
  <c r="F886" i="7"/>
  <c r="D886" i="7"/>
  <c r="G885" i="7"/>
  <c r="F885" i="7"/>
  <c r="D885" i="7"/>
  <c r="G884" i="7"/>
  <c r="F884" i="7"/>
  <c r="D884" i="7"/>
  <c r="G883" i="7"/>
  <c r="F883" i="7"/>
  <c r="D883" i="7"/>
  <c r="G882" i="7"/>
  <c r="F882" i="7"/>
  <c r="D882" i="7"/>
  <c r="G881" i="7"/>
  <c r="F881" i="7"/>
  <c r="D881" i="7"/>
  <c r="G880" i="7"/>
  <c r="F880" i="7"/>
  <c r="D880" i="7"/>
  <c r="G879" i="7"/>
  <c r="F879" i="7"/>
  <c r="D879" i="7"/>
  <c r="G878" i="7"/>
  <c r="F878" i="7"/>
  <c r="D878" i="7"/>
  <c r="G877" i="7"/>
  <c r="F877" i="7"/>
  <c r="D877" i="7"/>
  <c r="G876" i="7"/>
  <c r="F876" i="7"/>
  <c r="D876" i="7"/>
  <c r="G875" i="7"/>
  <c r="F875" i="7"/>
  <c r="D875" i="7"/>
  <c r="G874" i="7"/>
  <c r="F874" i="7"/>
  <c r="D874" i="7"/>
  <c r="G873" i="7"/>
  <c r="F873" i="7"/>
  <c r="D873" i="7"/>
  <c r="G872" i="7"/>
  <c r="F872" i="7"/>
  <c r="D872" i="7"/>
  <c r="G871" i="7"/>
  <c r="F871" i="7"/>
  <c r="D871" i="7"/>
  <c r="G870" i="7"/>
  <c r="F870" i="7"/>
  <c r="D870" i="7"/>
  <c r="G869" i="7"/>
  <c r="F869" i="7"/>
  <c r="D869" i="7"/>
  <c r="G868" i="7"/>
  <c r="F868" i="7"/>
  <c r="D868" i="7"/>
  <c r="G867" i="7"/>
  <c r="F867" i="7"/>
  <c r="D867" i="7"/>
  <c r="G866" i="7"/>
  <c r="F866" i="7"/>
  <c r="D866" i="7"/>
  <c r="G865" i="7"/>
  <c r="F865" i="7"/>
  <c r="D865" i="7"/>
  <c r="G864" i="7"/>
  <c r="F864" i="7"/>
  <c r="D864" i="7"/>
  <c r="G863" i="7"/>
  <c r="F863" i="7"/>
  <c r="D863" i="7"/>
  <c r="G862" i="7"/>
  <c r="F862" i="7"/>
  <c r="D862" i="7"/>
  <c r="G861" i="7"/>
  <c r="F861" i="7"/>
  <c r="D861" i="7"/>
  <c r="G860" i="7"/>
  <c r="F860" i="7"/>
  <c r="D860" i="7"/>
  <c r="G859" i="7"/>
  <c r="F859" i="7"/>
  <c r="D859" i="7"/>
  <c r="G858" i="7"/>
  <c r="F858" i="7"/>
  <c r="D858" i="7"/>
  <c r="G857" i="7"/>
  <c r="F857" i="7"/>
  <c r="D857" i="7"/>
  <c r="G856" i="7"/>
  <c r="F856" i="7"/>
  <c r="D856" i="7"/>
  <c r="G855" i="7"/>
  <c r="F855" i="7"/>
  <c r="D855" i="7"/>
  <c r="G854" i="7"/>
  <c r="F854" i="7"/>
  <c r="D854" i="7"/>
  <c r="G853" i="7"/>
  <c r="F853" i="7"/>
  <c r="D853" i="7"/>
  <c r="G852" i="7"/>
  <c r="F852" i="7"/>
  <c r="D852" i="7"/>
  <c r="G851" i="7"/>
  <c r="F851" i="7"/>
  <c r="D851" i="7"/>
  <c r="G850" i="7"/>
  <c r="F850" i="7"/>
  <c r="D850" i="7"/>
  <c r="G849" i="7"/>
  <c r="F849" i="7"/>
  <c r="D849" i="7"/>
  <c r="G848" i="7"/>
  <c r="F848" i="7"/>
  <c r="D848" i="7"/>
  <c r="G847" i="7"/>
  <c r="F847" i="7"/>
  <c r="D847" i="7"/>
  <c r="G846" i="7"/>
  <c r="F846" i="7"/>
  <c r="D846" i="7"/>
  <c r="G845" i="7"/>
  <c r="F845" i="7"/>
  <c r="D845" i="7"/>
  <c r="G844" i="7"/>
  <c r="F844" i="7"/>
  <c r="D844" i="7"/>
  <c r="G843" i="7"/>
  <c r="F843" i="7"/>
  <c r="D843" i="7"/>
  <c r="G842" i="7"/>
  <c r="F842" i="7"/>
  <c r="D842" i="7"/>
  <c r="G841" i="7"/>
  <c r="F841" i="7"/>
  <c r="D841" i="7"/>
  <c r="G840" i="7"/>
  <c r="F840" i="7"/>
  <c r="D840" i="7"/>
  <c r="G839" i="7"/>
  <c r="F839" i="7"/>
  <c r="D839" i="7"/>
  <c r="G838" i="7"/>
  <c r="F838" i="7"/>
  <c r="D838" i="7"/>
  <c r="G837" i="7"/>
  <c r="F837" i="7"/>
  <c r="D837" i="7"/>
  <c r="G836" i="7"/>
  <c r="F836" i="7"/>
  <c r="D836" i="7"/>
  <c r="G835" i="7"/>
  <c r="F835" i="7"/>
  <c r="D835" i="7"/>
  <c r="G834" i="7"/>
  <c r="F834" i="7"/>
  <c r="D834" i="7"/>
  <c r="G833" i="7"/>
  <c r="F833" i="7"/>
  <c r="D833" i="7"/>
  <c r="G832" i="7"/>
  <c r="F832" i="7"/>
  <c r="D832" i="7"/>
  <c r="G831" i="7"/>
  <c r="F831" i="7"/>
  <c r="D831" i="7"/>
  <c r="G830" i="7"/>
  <c r="F830" i="7"/>
  <c r="D830" i="7"/>
  <c r="G829" i="7"/>
  <c r="F829" i="7"/>
  <c r="D829" i="7"/>
  <c r="G828" i="7"/>
  <c r="F828" i="7"/>
  <c r="D828" i="7"/>
  <c r="G827" i="7"/>
  <c r="F827" i="7"/>
  <c r="D827" i="7"/>
  <c r="G826" i="7"/>
  <c r="F826" i="7"/>
  <c r="D826" i="7"/>
  <c r="G825" i="7"/>
  <c r="F825" i="7"/>
  <c r="D825" i="7"/>
  <c r="G824" i="7"/>
  <c r="F824" i="7"/>
  <c r="D824" i="7"/>
  <c r="G823" i="7"/>
  <c r="F823" i="7"/>
  <c r="D823" i="7"/>
  <c r="G822" i="7"/>
  <c r="F822" i="7"/>
  <c r="D822" i="7"/>
  <c r="G821" i="7"/>
  <c r="F821" i="7"/>
  <c r="D821" i="7"/>
  <c r="G820" i="7"/>
  <c r="F820" i="7"/>
  <c r="D820" i="7"/>
  <c r="G819" i="7"/>
  <c r="F819" i="7"/>
  <c r="D819" i="7"/>
  <c r="G818" i="7"/>
  <c r="F818" i="7"/>
  <c r="D818" i="7"/>
  <c r="G817" i="7"/>
  <c r="F817" i="7"/>
  <c r="D817" i="7"/>
  <c r="G816" i="7"/>
  <c r="F816" i="7"/>
  <c r="D816" i="7"/>
  <c r="G815" i="7"/>
  <c r="F815" i="7"/>
  <c r="D815" i="7"/>
  <c r="G814" i="7"/>
  <c r="F814" i="7"/>
  <c r="D814" i="7"/>
  <c r="G813" i="7"/>
  <c r="F813" i="7"/>
  <c r="D813" i="7"/>
  <c r="G812" i="7"/>
  <c r="F812" i="7"/>
  <c r="D812" i="7"/>
  <c r="G811" i="7"/>
  <c r="F811" i="7"/>
  <c r="D811" i="7"/>
  <c r="G810" i="7"/>
  <c r="F810" i="7"/>
  <c r="D810" i="7"/>
  <c r="G809" i="7"/>
  <c r="F809" i="7"/>
  <c r="D809" i="7"/>
  <c r="G808" i="7"/>
  <c r="F808" i="7"/>
  <c r="D808" i="7"/>
  <c r="G807" i="7"/>
  <c r="F807" i="7"/>
  <c r="D807" i="7"/>
  <c r="G806" i="7"/>
  <c r="F806" i="7"/>
  <c r="D806" i="7"/>
  <c r="G805" i="7"/>
  <c r="F805" i="7"/>
  <c r="D805" i="7"/>
  <c r="G804" i="7"/>
  <c r="F804" i="7"/>
  <c r="D804" i="7"/>
  <c r="G803" i="7"/>
  <c r="F803" i="7"/>
  <c r="D803" i="7"/>
  <c r="G802" i="7"/>
  <c r="F802" i="7"/>
  <c r="D802" i="7"/>
  <c r="G801" i="7"/>
  <c r="F801" i="7"/>
  <c r="D801" i="7"/>
  <c r="G800" i="7"/>
  <c r="F800" i="7"/>
  <c r="D800" i="7"/>
  <c r="G799" i="7"/>
  <c r="F799" i="7"/>
  <c r="D799" i="7"/>
  <c r="G798" i="7"/>
  <c r="F798" i="7"/>
  <c r="D798" i="7"/>
  <c r="G797" i="7"/>
  <c r="F797" i="7"/>
  <c r="D797" i="7"/>
  <c r="G796" i="7"/>
  <c r="F796" i="7"/>
  <c r="D796" i="7"/>
  <c r="G795" i="7"/>
  <c r="F795" i="7"/>
  <c r="D795" i="7"/>
  <c r="G794" i="7"/>
  <c r="F794" i="7"/>
  <c r="D794" i="7"/>
  <c r="G793" i="7"/>
  <c r="F793" i="7"/>
  <c r="D793" i="7"/>
  <c r="G792" i="7"/>
  <c r="F792" i="7"/>
  <c r="D792" i="7"/>
  <c r="G791" i="7"/>
  <c r="F791" i="7"/>
  <c r="D791" i="7"/>
  <c r="G790" i="7"/>
  <c r="F790" i="7"/>
  <c r="D790" i="7"/>
  <c r="G789" i="7"/>
  <c r="F789" i="7"/>
  <c r="D789" i="7"/>
  <c r="G788" i="7"/>
  <c r="F788" i="7"/>
  <c r="D788" i="7"/>
  <c r="G787" i="7"/>
  <c r="F787" i="7"/>
  <c r="D787" i="7"/>
  <c r="G786" i="7"/>
  <c r="F786" i="7"/>
  <c r="D786" i="7"/>
  <c r="G785" i="7"/>
  <c r="F785" i="7"/>
  <c r="D785" i="7"/>
  <c r="G784" i="7"/>
  <c r="F784" i="7"/>
  <c r="D784" i="7"/>
  <c r="G783" i="7"/>
  <c r="F783" i="7"/>
  <c r="D783" i="7"/>
  <c r="G782" i="7"/>
  <c r="F782" i="7"/>
  <c r="D782" i="7"/>
  <c r="G781" i="7"/>
  <c r="F781" i="7"/>
  <c r="D781" i="7"/>
  <c r="G780" i="7"/>
  <c r="F780" i="7"/>
  <c r="D780" i="7"/>
  <c r="G779" i="7"/>
  <c r="F779" i="7"/>
  <c r="D779" i="7"/>
  <c r="G778" i="7"/>
  <c r="F778" i="7"/>
  <c r="D778" i="7"/>
  <c r="G777" i="7"/>
  <c r="F777" i="7"/>
  <c r="D777" i="7"/>
  <c r="G776" i="7"/>
  <c r="F776" i="7"/>
  <c r="D776" i="7"/>
  <c r="G775" i="7"/>
  <c r="F775" i="7"/>
  <c r="D775" i="7"/>
  <c r="G774" i="7"/>
  <c r="F774" i="7"/>
  <c r="D774" i="7"/>
  <c r="G773" i="7"/>
  <c r="F773" i="7"/>
  <c r="D773" i="7"/>
  <c r="G772" i="7"/>
  <c r="F772" i="7"/>
  <c r="D772" i="7"/>
  <c r="G771" i="7"/>
  <c r="F771" i="7"/>
  <c r="D771" i="7"/>
  <c r="G770" i="7"/>
  <c r="F770" i="7"/>
  <c r="D770" i="7"/>
  <c r="G769" i="7"/>
  <c r="F769" i="7"/>
  <c r="D769" i="7"/>
  <c r="G768" i="7"/>
  <c r="F768" i="7"/>
  <c r="D768" i="7"/>
  <c r="G767" i="7"/>
  <c r="F767" i="7"/>
  <c r="D767" i="7"/>
  <c r="G766" i="7"/>
  <c r="F766" i="7"/>
  <c r="D766" i="7"/>
  <c r="G765" i="7"/>
  <c r="F765" i="7"/>
  <c r="D765" i="7"/>
  <c r="G764" i="7"/>
  <c r="F764" i="7"/>
  <c r="D764" i="7"/>
  <c r="G763" i="7"/>
  <c r="F763" i="7"/>
  <c r="D763" i="7"/>
  <c r="G762" i="7"/>
  <c r="F762" i="7"/>
  <c r="D762" i="7"/>
  <c r="G761" i="7"/>
  <c r="F761" i="7"/>
  <c r="D761" i="7"/>
  <c r="G760" i="7"/>
  <c r="F760" i="7"/>
  <c r="D760" i="7"/>
  <c r="G759" i="7"/>
  <c r="F759" i="7"/>
  <c r="D759" i="7"/>
  <c r="G758" i="7"/>
  <c r="F758" i="7"/>
  <c r="D758" i="7"/>
  <c r="G757" i="7"/>
  <c r="F757" i="7"/>
  <c r="D757" i="7"/>
  <c r="G756" i="7"/>
  <c r="F756" i="7"/>
  <c r="D756" i="7"/>
  <c r="G755" i="7"/>
  <c r="F755" i="7"/>
  <c r="D755" i="7"/>
  <c r="G754" i="7"/>
  <c r="F754" i="7"/>
  <c r="D754" i="7"/>
  <c r="G753" i="7"/>
  <c r="F753" i="7"/>
  <c r="D753" i="7"/>
  <c r="G752" i="7"/>
  <c r="F752" i="7"/>
  <c r="D752" i="7"/>
  <c r="G751" i="7"/>
  <c r="F751" i="7"/>
  <c r="D751" i="7"/>
  <c r="G750" i="7"/>
  <c r="F750" i="7"/>
  <c r="D750" i="7"/>
  <c r="G749" i="7"/>
  <c r="F749" i="7"/>
  <c r="D749" i="7"/>
  <c r="G748" i="7"/>
  <c r="F748" i="7"/>
  <c r="D748" i="7"/>
  <c r="G747" i="7"/>
  <c r="F747" i="7"/>
  <c r="D747" i="7"/>
  <c r="G746" i="7"/>
  <c r="F746" i="7"/>
  <c r="D746" i="7"/>
  <c r="G745" i="7"/>
  <c r="F745" i="7"/>
  <c r="D745" i="7"/>
  <c r="G744" i="7"/>
  <c r="F744" i="7"/>
  <c r="D744" i="7"/>
  <c r="G743" i="7"/>
  <c r="F743" i="7"/>
  <c r="D743" i="7"/>
  <c r="G742" i="7"/>
  <c r="F742" i="7"/>
  <c r="D742" i="7"/>
  <c r="G741" i="7"/>
  <c r="F741" i="7"/>
  <c r="D741" i="7"/>
  <c r="G740" i="7"/>
  <c r="F740" i="7"/>
  <c r="D740" i="7"/>
  <c r="G739" i="7"/>
  <c r="F739" i="7"/>
  <c r="D739" i="7"/>
  <c r="G738" i="7"/>
  <c r="F738" i="7"/>
  <c r="D738" i="7"/>
  <c r="G737" i="7"/>
  <c r="F737" i="7"/>
  <c r="D737" i="7"/>
  <c r="G736" i="7"/>
  <c r="F736" i="7"/>
  <c r="D736" i="7"/>
  <c r="G735" i="7"/>
  <c r="F735" i="7"/>
  <c r="D735" i="7"/>
  <c r="G734" i="7"/>
  <c r="F734" i="7"/>
  <c r="D734" i="7"/>
  <c r="G733" i="7"/>
  <c r="F733" i="7"/>
  <c r="D733" i="7"/>
  <c r="G732" i="7"/>
  <c r="F732" i="7"/>
  <c r="D732" i="7"/>
  <c r="G731" i="7"/>
  <c r="F731" i="7"/>
  <c r="D731" i="7"/>
  <c r="G730" i="7"/>
  <c r="F730" i="7"/>
  <c r="D730" i="7"/>
  <c r="G729" i="7"/>
  <c r="F729" i="7"/>
  <c r="D729" i="7"/>
  <c r="G728" i="7"/>
  <c r="F728" i="7"/>
  <c r="D728" i="7"/>
  <c r="G727" i="7"/>
  <c r="F727" i="7"/>
  <c r="D727" i="7"/>
  <c r="G726" i="7"/>
  <c r="F726" i="7"/>
  <c r="D726" i="7"/>
  <c r="G725" i="7"/>
  <c r="F725" i="7"/>
  <c r="D725" i="7"/>
  <c r="G724" i="7"/>
  <c r="F724" i="7"/>
  <c r="D724" i="7"/>
  <c r="G723" i="7"/>
  <c r="F723" i="7"/>
  <c r="D723" i="7"/>
  <c r="G722" i="7"/>
  <c r="F722" i="7"/>
  <c r="D722" i="7"/>
  <c r="G721" i="7"/>
  <c r="F721" i="7"/>
  <c r="D721" i="7"/>
  <c r="G720" i="7"/>
  <c r="F720" i="7"/>
  <c r="D720" i="7"/>
  <c r="G719" i="7"/>
  <c r="F719" i="7"/>
  <c r="D719" i="7"/>
  <c r="G718" i="7"/>
  <c r="F718" i="7"/>
  <c r="D718" i="7"/>
  <c r="G717" i="7"/>
  <c r="F717" i="7"/>
  <c r="D717" i="7"/>
  <c r="G716" i="7"/>
  <c r="F716" i="7"/>
  <c r="D716" i="7"/>
  <c r="G715" i="7"/>
  <c r="F715" i="7"/>
  <c r="D715" i="7"/>
  <c r="G714" i="7"/>
  <c r="F714" i="7"/>
  <c r="D714" i="7"/>
  <c r="G713" i="7"/>
  <c r="F713" i="7"/>
  <c r="D713" i="7"/>
  <c r="G712" i="7"/>
  <c r="F712" i="7"/>
  <c r="D712" i="7"/>
  <c r="G711" i="7"/>
  <c r="F711" i="7"/>
  <c r="D711" i="7"/>
  <c r="G710" i="7"/>
  <c r="F710" i="7"/>
  <c r="D710" i="7"/>
  <c r="G709" i="7"/>
  <c r="F709" i="7"/>
  <c r="D709" i="7"/>
  <c r="G708" i="7"/>
  <c r="F708" i="7"/>
  <c r="D708" i="7"/>
  <c r="G707" i="7"/>
  <c r="F707" i="7"/>
  <c r="D707" i="7"/>
  <c r="G706" i="7"/>
  <c r="F706" i="7"/>
  <c r="D706" i="7"/>
  <c r="G705" i="7"/>
  <c r="F705" i="7"/>
  <c r="D705" i="7"/>
  <c r="G704" i="7"/>
  <c r="F704" i="7"/>
  <c r="D704" i="7"/>
  <c r="G703" i="7"/>
  <c r="F703" i="7"/>
  <c r="D703" i="7"/>
  <c r="G702" i="7"/>
  <c r="F702" i="7"/>
  <c r="D702" i="7"/>
  <c r="G701" i="7"/>
  <c r="F701" i="7"/>
  <c r="D701" i="7"/>
  <c r="G700" i="7"/>
  <c r="F700" i="7"/>
  <c r="D700" i="7"/>
  <c r="G699" i="7"/>
  <c r="F699" i="7"/>
  <c r="D699" i="7"/>
  <c r="G698" i="7"/>
  <c r="F698" i="7"/>
  <c r="D698" i="7"/>
  <c r="G697" i="7"/>
  <c r="F697" i="7"/>
  <c r="D697" i="7"/>
  <c r="G696" i="7"/>
  <c r="F696" i="7"/>
  <c r="D696" i="7"/>
  <c r="G695" i="7"/>
  <c r="F695" i="7"/>
  <c r="D695" i="7"/>
  <c r="G694" i="7"/>
  <c r="F694" i="7"/>
  <c r="D694" i="7"/>
  <c r="G693" i="7"/>
  <c r="F693" i="7"/>
  <c r="D693" i="7"/>
  <c r="G692" i="7"/>
  <c r="F692" i="7"/>
  <c r="D692" i="7"/>
  <c r="G691" i="7"/>
  <c r="F691" i="7"/>
  <c r="D691" i="7"/>
  <c r="G690" i="7"/>
  <c r="F690" i="7"/>
  <c r="D690" i="7"/>
  <c r="G689" i="7"/>
  <c r="F689" i="7"/>
  <c r="D689" i="7"/>
  <c r="G688" i="7"/>
  <c r="F688" i="7"/>
  <c r="D688" i="7"/>
  <c r="G687" i="7"/>
  <c r="F687" i="7"/>
  <c r="D687" i="7"/>
  <c r="G686" i="7"/>
  <c r="F686" i="7"/>
  <c r="D686" i="7"/>
  <c r="G685" i="7"/>
  <c r="F685" i="7"/>
  <c r="D685" i="7"/>
  <c r="G684" i="7"/>
  <c r="F684" i="7"/>
  <c r="D684" i="7"/>
  <c r="G683" i="7"/>
  <c r="F683" i="7"/>
  <c r="D683" i="7"/>
  <c r="G682" i="7"/>
  <c r="F682" i="7"/>
  <c r="D682" i="7"/>
  <c r="G681" i="7"/>
  <c r="F681" i="7"/>
  <c r="D681" i="7"/>
  <c r="G680" i="7"/>
  <c r="F680" i="7"/>
  <c r="D680" i="7"/>
  <c r="G679" i="7"/>
  <c r="F679" i="7"/>
  <c r="D679" i="7"/>
  <c r="G678" i="7"/>
  <c r="F678" i="7"/>
  <c r="D678" i="7"/>
  <c r="G677" i="7"/>
  <c r="F677" i="7"/>
  <c r="D677" i="7"/>
  <c r="G676" i="7"/>
  <c r="F676" i="7"/>
  <c r="D676" i="7"/>
  <c r="G675" i="7"/>
  <c r="F675" i="7"/>
  <c r="D675" i="7"/>
  <c r="G674" i="7"/>
  <c r="F674" i="7"/>
  <c r="D674" i="7"/>
  <c r="G673" i="7"/>
  <c r="F673" i="7"/>
  <c r="D673" i="7"/>
  <c r="G672" i="7"/>
  <c r="F672" i="7"/>
  <c r="D672" i="7"/>
  <c r="G671" i="7"/>
  <c r="F671" i="7"/>
  <c r="D671" i="7"/>
  <c r="G670" i="7"/>
  <c r="F670" i="7"/>
  <c r="D670" i="7"/>
  <c r="G669" i="7"/>
  <c r="F669" i="7"/>
  <c r="D669" i="7"/>
  <c r="G668" i="7"/>
  <c r="F668" i="7"/>
  <c r="D668" i="7"/>
  <c r="G667" i="7"/>
  <c r="F667" i="7"/>
  <c r="D667" i="7"/>
  <c r="G666" i="7"/>
  <c r="F666" i="7"/>
  <c r="D666" i="7"/>
  <c r="G665" i="7"/>
  <c r="F665" i="7"/>
  <c r="D665" i="7"/>
  <c r="G664" i="7"/>
  <c r="F664" i="7"/>
  <c r="D664" i="7"/>
  <c r="G663" i="7"/>
  <c r="F663" i="7"/>
  <c r="D663" i="7"/>
  <c r="G662" i="7"/>
  <c r="F662" i="7"/>
  <c r="D662" i="7"/>
  <c r="G661" i="7"/>
  <c r="F661" i="7"/>
  <c r="D661" i="7"/>
  <c r="G660" i="7"/>
  <c r="F660" i="7"/>
  <c r="D660" i="7"/>
  <c r="G659" i="7"/>
  <c r="F659" i="7"/>
  <c r="D659" i="7"/>
  <c r="G658" i="7"/>
  <c r="F658" i="7"/>
  <c r="D658" i="7"/>
  <c r="G657" i="7"/>
  <c r="F657" i="7"/>
  <c r="D657" i="7"/>
  <c r="G656" i="7"/>
  <c r="F656" i="7"/>
  <c r="D656" i="7"/>
  <c r="G655" i="7"/>
  <c r="F655" i="7"/>
  <c r="D655" i="7"/>
  <c r="G654" i="7"/>
  <c r="F654" i="7"/>
  <c r="D654" i="7"/>
  <c r="G653" i="7"/>
  <c r="F653" i="7"/>
  <c r="D653" i="7"/>
  <c r="G652" i="7"/>
  <c r="F652" i="7"/>
  <c r="D652" i="7"/>
  <c r="G651" i="7"/>
  <c r="F651" i="7"/>
  <c r="D651" i="7"/>
  <c r="G650" i="7"/>
  <c r="F650" i="7"/>
  <c r="D650" i="7"/>
  <c r="G649" i="7"/>
  <c r="F649" i="7"/>
  <c r="D649" i="7"/>
  <c r="G648" i="7"/>
  <c r="F648" i="7"/>
  <c r="D648" i="7"/>
  <c r="G647" i="7"/>
  <c r="F647" i="7"/>
  <c r="D647" i="7"/>
  <c r="G646" i="7"/>
  <c r="F646" i="7"/>
  <c r="D646" i="7"/>
  <c r="G645" i="7"/>
  <c r="F645" i="7"/>
  <c r="D645" i="7"/>
  <c r="G644" i="7"/>
  <c r="F644" i="7"/>
  <c r="D644" i="7"/>
  <c r="G643" i="7"/>
  <c r="F643" i="7"/>
  <c r="D643" i="7"/>
  <c r="G642" i="7"/>
  <c r="F642" i="7"/>
  <c r="D642" i="7"/>
  <c r="G641" i="7"/>
  <c r="F641" i="7"/>
  <c r="D641" i="7"/>
  <c r="G640" i="7"/>
  <c r="F640" i="7"/>
  <c r="D640" i="7"/>
  <c r="G639" i="7"/>
  <c r="F639" i="7"/>
  <c r="D639" i="7"/>
  <c r="G638" i="7"/>
  <c r="F638" i="7"/>
  <c r="D638" i="7"/>
  <c r="G637" i="7"/>
  <c r="F637" i="7"/>
  <c r="D637" i="7"/>
  <c r="G636" i="7"/>
  <c r="F636" i="7"/>
  <c r="D636" i="7"/>
  <c r="G635" i="7"/>
  <c r="F635" i="7"/>
  <c r="D635" i="7"/>
  <c r="G634" i="7"/>
  <c r="F634" i="7"/>
  <c r="D634" i="7"/>
  <c r="G633" i="7"/>
  <c r="F633" i="7"/>
  <c r="D633" i="7"/>
  <c r="G632" i="7"/>
  <c r="F632" i="7"/>
  <c r="D632" i="7"/>
  <c r="G631" i="7"/>
  <c r="F631" i="7"/>
  <c r="D631" i="7"/>
  <c r="G630" i="7"/>
  <c r="F630" i="7"/>
  <c r="D630" i="7"/>
  <c r="G629" i="7"/>
  <c r="F629" i="7"/>
  <c r="D629" i="7"/>
  <c r="G628" i="7"/>
  <c r="F628" i="7"/>
  <c r="D628" i="7"/>
  <c r="G627" i="7"/>
  <c r="F627" i="7"/>
  <c r="D627" i="7"/>
  <c r="G626" i="7"/>
  <c r="F626" i="7"/>
  <c r="D626" i="7"/>
  <c r="G625" i="7"/>
  <c r="F625" i="7"/>
  <c r="D625" i="7"/>
  <c r="G624" i="7"/>
  <c r="F624" i="7"/>
  <c r="D624" i="7"/>
  <c r="G623" i="7"/>
  <c r="F623" i="7"/>
  <c r="D623" i="7"/>
  <c r="G622" i="7"/>
  <c r="F622" i="7"/>
  <c r="D622" i="7"/>
  <c r="G621" i="7"/>
  <c r="F621" i="7"/>
  <c r="D621" i="7"/>
  <c r="G620" i="7"/>
  <c r="F620" i="7"/>
  <c r="D620" i="7"/>
  <c r="G619" i="7"/>
  <c r="F619" i="7"/>
  <c r="D619" i="7"/>
  <c r="G618" i="7"/>
  <c r="F618" i="7"/>
  <c r="D618" i="7"/>
  <c r="G617" i="7"/>
  <c r="F617" i="7"/>
  <c r="D617" i="7"/>
  <c r="G616" i="7"/>
  <c r="F616" i="7"/>
  <c r="D616" i="7"/>
  <c r="G615" i="7"/>
  <c r="F615" i="7"/>
  <c r="D615" i="7"/>
  <c r="G614" i="7"/>
  <c r="F614" i="7"/>
  <c r="D614" i="7"/>
  <c r="G613" i="7"/>
  <c r="F613" i="7"/>
  <c r="D613" i="7"/>
  <c r="G612" i="7"/>
  <c r="F612" i="7"/>
  <c r="D612" i="7"/>
  <c r="G611" i="7"/>
  <c r="F611" i="7"/>
  <c r="D611" i="7"/>
  <c r="G610" i="7"/>
  <c r="F610" i="7"/>
  <c r="D610" i="7"/>
  <c r="G609" i="7"/>
  <c r="F609" i="7"/>
  <c r="D609" i="7"/>
  <c r="G608" i="7"/>
  <c r="F608" i="7"/>
  <c r="D608" i="7"/>
  <c r="G607" i="7"/>
  <c r="F607" i="7"/>
  <c r="D607" i="7"/>
  <c r="G606" i="7"/>
  <c r="F606" i="7"/>
  <c r="D606" i="7"/>
  <c r="G605" i="7"/>
  <c r="F605" i="7"/>
  <c r="D605" i="7"/>
  <c r="G604" i="7"/>
  <c r="F604" i="7"/>
  <c r="D604" i="7"/>
  <c r="G603" i="7"/>
  <c r="F603" i="7"/>
  <c r="D603" i="7"/>
  <c r="G602" i="7"/>
  <c r="F602" i="7"/>
  <c r="D602" i="7"/>
  <c r="G601" i="7"/>
  <c r="F601" i="7"/>
  <c r="D601" i="7"/>
  <c r="G600" i="7"/>
  <c r="F600" i="7"/>
  <c r="D600" i="7"/>
  <c r="G599" i="7"/>
  <c r="F599" i="7"/>
  <c r="D599" i="7"/>
  <c r="G598" i="7"/>
  <c r="F598" i="7"/>
  <c r="D598" i="7"/>
  <c r="G597" i="7"/>
  <c r="F597" i="7"/>
  <c r="D597" i="7"/>
  <c r="G596" i="7"/>
  <c r="F596" i="7"/>
  <c r="D596" i="7"/>
  <c r="G595" i="7"/>
  <c r="F595" i="7"/>
  <c r="D595" i="7"/>
  <c r="G594" i="7"/>
  <c r="F594" i="7"/>
  <c r="D594" i="7"/>
  <c r="G593" i="7"/>
  <c r="F593" i="7"/>
  <c r="D593" i="7"/>
  <c r="G592" i="7"/>
  <c r="F592" i="7"/>
  <c r="D592" i="7"/>
  <c r="G591" i="7"/>
  <c r="F591" i="7"/>
  <c r="D591" i="7"/>
  <c r="G590" i="7"/>
  <c r="F590" i="7"/>
  <c r="D590" i="7"/>
  <c r="G589" i="7"/>
  <c r="F589" i="7"/>
  <c r="D589" i="7"/>
  <c r="G588" i="7"/>
  <c r="F588" i="7"/>
  <c r="D588" i="7"/>
  <c r="G587" i="7"/>
  <c r="F587" i="7"/>
  <c r="D587" i="7"/>
  <c r="G586" i="7"/>
  <c r="F586" i="7"/>
  <c r="D586" i="7"/>
  <c r="G585" i="7"/>
  <c r="F585" i="7"/>
  <c r="D585" i="7"/>
  <c r="G584" i="7"/>
  <c r="F584" i="7"/>
  <c r="D584" i="7"/>
  <c r="G583" i="7"/>
  <c r="F583" i="7"/>
  <c r="D583" i="7"/>
  <c r="G582" i="7"/>
  <c r="F582" i="7"/>
  <c r="D582" i="7"/>
  <c r="G581" i="7"/>
  <c r="F581" i="7"/>
  <c r="D581" i="7"/>
  <c r="G580" i="7"/>
  <c r="F580" i="7"/>
  <c r="D580" i="7"/>
  <c r="G579" i="7"/>
  <c r="F579" i="7"/>
  <c r="D579" i="7"/>
  <c r="G578" i="7"/>
  <c r="F578" i="7"/>
  <c r="D578" i="7"/>
  <c r="G577" i="7"/>
  <c r="F577" i="7"/>
  <c r="D577" i="7"/>
  <c r="G576" i="7"/>
  <c r="F576" i="7"/>
  <c r="D576" i="7"/>
  <c r="G575" i="7"/>
  <c r="F575" i="7"/>
  <c r="D575" i="7"/>
  <c r="G574" i="7"/>
  <c r="F574" i="7"/>
  <c r="D574" i="7"/>
  <c r="G573" i="7"/>
  <c r="F573" i="7"/>
  <c r="D573" i="7"/>
  <c r="G572" i="7"/>
  <c r="F572" i="7"/>
  <c r="D572" i="7"/>
  <c r="G571" i="7"/>
  <c r="F571" i="7"/>
  <c r="D571" i="7"/>
  <c r="G570" i="7"/>
  <c r="F570" i="7"/>
  <c r="D570" i="7"/>
  <c r="G569" i="7"/>
  <c r="F569" i="7"/>
  <c r="D569" i="7"/>
  <c r="G568" i="7"/>
  <c r="F568" i="7"/>
  <c r="D568" i="7"/>
  <c r="G567" i="7"/>
  <c r="F567" i="7"/>
  <c r="D567" i="7"/>
  <c r="G566" i="7"/>
  <c r="F566" i="7"/>
  <c r="D566" i="7"/>
  <c r="G565" i="7"/>
  <c r="F565" i="7"/>
  <c r="D565" i="7"/>
  <c r="G564" i="7"/>
  <c r="F564" i="7"/>
  <c r="D564" i="7"/>
  <c r="G563" i="7"/>
  <c r="F563" i="7"/>
  <c r="D563" i="7"/>
  <c r="G562" i="7"/>
  <c r="F562" i="7"/>
  <c r="D562" i="7"/>
  <c r="G561" i="7"/>
  <c r="F561" i="7"/>
  <c r="D561" i="7"/>
  <c r="G560" i="7"/>
  <c r="F560" i="7"/>
  <c r="D560" i="7"/>
  <c r="G559" i="7"/>
  <c r="F559" i="7"/>
  <c r="D559" i="7"/>
  <c r="G558" i="7"/>
  <c r="F558" i="7"/>
  <c r="D558" i="7"/>
  <c r="G557" i="7"/>
  <c r="F557" i="7"/>
  <c r="D557" i="7"/>
  <c r="G556" i="7"/>
  <c r="F556" i="7"/>
  <c r="D556" i="7"/>
  <c r="G555" i="7"/>
  <c r="F555" i="7"/>
  <c r="D555" i="7"/>
  <c r="G554" i="7"/>
  <c r="F554" i="7"/>
  <c r="D554" i="7"/>
  <c r="G553" i="7"/>
  <c r="F553" i="7"/>
  <c r="D553" i="7"/>
  <c r="G552" i="7"/>
  <c r="F552" i="7"/>
  <c r="D552" i="7"/>
  <c r="G551" i="7"/>
  <c r="F551" i="7"/>
  <c r="D551" i="7"/>
  <c r="G550" i="7"/>
  <c r="F550" i="7"/>
  <c r="D550" i="7"/>
  <c r="G549" i="7"/>
  <c r="F549" i="7"/>
  <c r="D549" i="7"/>
  <c r="G548" i="7"/>
  <c r="F548" i="7"/>
  <c r="D548" i="7"/>
  <c r="G547" i="7"/>
  <c r="F547" i="7"/>
  <c r="D547" i="7"/>
  <c r="G546" i="7"/>
  <c r="F546" i="7"/>
  <c r="D546" i="7"/>
  <c r="G545" i="7"/>
  <c r="F545" i="7"/>
  <c r="D545" i="7"/>
  <c r="G544" i="7"/>
  <c r="F544" i="7"/>
  <c r="D544" i="7"/>
  <c r="G543" i="7"/>
  <c r="F543" i="7"/>
  <c r="D543" i="7"/>
  <c r="G542" i="7"/>
  <c r="F542" i="7"/>
  <c r="D542" i="7"/>
  <c r="G541" i="7"/>
  <c r="F541" i="7"/>
  <c r="D541" i="7"/>
  <c r="G540" i="7"/>
  <c r="F540" i="7"/>
  <c r="D540" i="7"/>
  <c r="G539" i="7"/>
  <c r="F539" i="7"/>
  <c r="D539" i="7"/>
  <c r="G538" i="7"/>
  <c r="F538" i="7"/>
  <c r="D538" i="7"/>
  <c r="G537" i="7"/>
  <c r="F537" i="7"/>
  <c r="D537" i="7"/>
  <c r="G536" i="7"/>
  <c r="F536" i="7"/>
  <c r="D536" i="7"/>
  <c r="G535" i="7"/>
  <c r="F535" i="7"/>
  <c r="D535" i="7"/>
  <c r="G534" i="7"/>
  <c r="F534" i="7"/>
  <c r="D534" i="7"/>
  <c r="G533" i="7"/>
  <c r="F533" i="7"/>
  <c r="D533" i="7"/>
  <c r="G532" i="7"/>
  <c r="F532" i="7"/>
  <c r="D532" i="7"/>
  <c r="G531" i="7"/>
  <c r="F531" i="7"/>
  <c r="D531" i="7"/>
  <c r="G530" i="7"/>
  <c r="F530" i="7"/>
  <c r="D530" i="7"/>
  <c r="G529" i="7"/>
  <c r="F529" i="7"/>
  <c r="D529" i="7"/>
  <c r="G528" i="7"/>
  <c r="F528" i="7"/>
  <c r="D528" i="7"/>
  <c r="G527" i="7"/>
  <c r="F527" i="7"/>
  <c r="D527" i="7"/>
  <c r="G526" i="7"/>
  <c r="F526" i="7"/>
  <c r="D526" i="7"/>
  <c r="G525" i="7"/>
  <c r="F525" i="7"/>
  <c r="D525" i="7"/>
  <c r="G524" i="7"/>
  <c r="F524" i="7"/>
  <c r="D524" i="7"/>
  <c r="G523" i="7"/>
  <c r="F523" i="7"/>
  <c r="D523" i="7"/>
  <c r="G522" i="7"/>
  <c r="F522" i="7"/>
  <c r="D522" i="7"/>
  <c r="G521" i="7"/>
  <c r="F521" i="7"/>
  <c r="D521" i="7"/>
  <c r="G520" i="7"/>
  <c r="F520" i="7"/>
  <c r="D520" i="7"/>
  <c r="G519" i="7"/>
  <c r="F519" i="7"/>
  <c r="D519" i="7"/>
  <c r="G518" i="7"/>
  <c r="F518" i="7"/>
  <c r="D518" i="7"/>
  <c r="G517" i="7"/>
  <c r="F517" i="7"/>
  <c r="D517" i="7"/>
  <c r="G516" i="7"/>
  <c r="F516" i="7"/>
  <c r="D516" i="7"/>
  <c r="G515" i="7"/>
  <c r="F515" i="7"/>
  <c r="D515" i="7"/>
  <c r="G514" i="7"/>
  <c r="F514" i="7"/>
  <c r="D514" i="7"/>
  <c r="G513" i="7"/>
  <c r="F513" i="7"/>
  <c r="D513" i="7"/>
  <c r="G512" i="7"/>
  <c r="F512" i="7"/>
  <c r="D512" i="7"/>
  <c r="G511" i="7"/>
  <c r="F511" i="7"/>
  <c r="D511" i="7"/>
  <c r="G510" i="7"/>
  <c r="F510" i="7"/>
  <c r="D510" i="7"/>
  <c r="G509" i="7"/>
  <c r="F509" i="7"/>
  <c r="D509" i="7"/>
  <c r="G508" i="7"/>
  <c r="F508" i="7"/>
  <c r="D508" i="7"/>
  <c r="G507" i="7"/>
  <c r="F507" i="7"/>
  <c r="D507" i="7"/>
  <c r="G506" i="7"/>
  <c r="F506" i="7"/>
  <c r="D506" i="7"/>
  <c r="G505" i="7"/>
  <c r="F505" i="7"/>
  <c r="D505" i="7"/>
  <c r="G504" i="7"/>
  <c r="F504" i="7"/>
  <c r="D504" i="7"/>
  <c r="G503" i="7"/>
  <c r="F503" i="7"/>
  <c r="D503" i="7"/>
  <c r="G502" i="7"/>
  <c r="F502" i="7"/>
  <c r="D502" i="7"/>
  <c r="G501" i="7"/>
  <c r="F501" i="7"/>
  <c r="D501" i="7"/>
  <c r="G500" i="7"/>
  <c r="F500" i="7"/>
  <c r="D500" i="7"/>
  <c r="G499" i="7"/>
  <c r="F499" i="7"/>
  <c r="D499" i="7"/>
  <c r="G498" i="7"/>
  <c r="F498" i="7"/>
  <c r="D498" i="7"/>
  <c r="G497" i="7"/>
  <c r="F497" i="7"/>
  <c r="D497" i="7"/>
  <c r="G496" i="7"/>
  <c r="F496" i="7"/>
  <c r="D496" i="7"/>
  <c r="G495" i="7"/>
  <c r="F495" i="7"/>
  <c r="D495" i="7"/>
  <c r="G494" i="7"/>
  <c r="F494" i="7"/>
  <c r="D494" i="7"/>
  <c r="G493" i="7"/>
  <c r="F493" i="7"/>
  <c r="D493" i="7"/>
  <c r="G492" i="7"/>
  <c r="F492" i="7"/>
  <c r="D492" i="7"/>
  <c r="G491" i="7"/>
  <c r="F491" i="7"/>
  <c r="D491" i="7"/>
  <c r="G490" i="7"/>
  <c r="F490" i="7"/>
  <c r="D490" i="7"/>
  <c r="G489" i="7"/>
  <c r="F489" i="7"/>
  <c r="D489" i="7"/>
  <c r="G488" i="7"/>
  <c r="F488" i="7"/>
  <c r="D488" i="7"/>
  <c r="G487" i="7"/>
  <c r="F487" i="7"/>
  <c r="D487" i="7"/>
  <c r="G486" i="7"/>
  <c r="F486" i="7"/>
  <c r="D486" i="7"/>
  <c r="G485" i="7"/>
  <c r="F485" i="7"/>
  <c r="D485" i="7"/>
  <c r="G484" i="7"/>
  <c r="F484" i="7"/>
  <c r="D484" i="7"/>
  <c r="G483" i="7"/>
  <c r="F483" i="7"/>
  <c r="D483" i="7"/>
  <c r="G482" i="7"/>
  <c r="F482" i="7"/>
  <c r="D482" i="7"/>
  <c r="G481" i="7"/>
  <c r="F481" i="7"/>
  <c r="D481" i="7"/>
  <c r="G480" i="7"/>
  <c r="F480" i="7"/>
  <c r="D480" i="7"/>
  <c r="G479" i="7"/>
  <c r="F479" i="7"/>
  <c r="D479" i="7"/>
  <c r="G478" i="7"/>
  <c r="F478" i="7"/>
  <c r="D478" i="7"/>
  <c r="G477" i="7"/>
  <c r="F477" i="7"/>
  <c r="D477" i="7"/>
  <c r="G476" i="7"/>
  <c r="F476" i="7"/>
  <c r="D476" i="7"/>
  <c r="G475" i="7"/>
  <c r="F475" i="7"/>
  <c r="D475" i="7"/>
  <c r="G474" i="7"/>
  <c r="F474" i="7"/>
  <c r="D474" i="7"/>
  <c r="G473" i="7"/>
  <c r="F473" i="7"/>
  <c r="D473" i="7"/>
  <c r="G472" i="7"/>
  <c r="F472" i="7"/>
  <c r="D472" i="7"/>
  <c r="G471" i="7"/>
  <c r="F471" i="7"/>
  <c r="D471" i="7"/>
  <c r="G470" i="7"/>
  <c r="F470" i="7"/>
  <c r="D470" i="7"/>
  <c r="G469" i="7"/>
  <c r="F469" i="7"/>
  <c r="D469" i="7"/>
  <c r="G468" i="7"/>
  <c r="F468" i="7"/>
  <c r="D468" i="7"/>
  <c r="G467" i="7"/>
  <c r="F467" i="7"/>
  <c r="D467" i="7"/>
  <c r="G466" i="7"/>
  <c r="F466" i="7"/>
  <c r="D466" i="7"/>
  <c r="G465" i="7"/>
  <c r="F465" i="7"/>
  <c r="D465" i="7"/>
  <c r="G464" i="7"/>
  <c r="F464" i="7"/>
  <c r="D464" i="7"/>
  <c r="G463" i="7"/>
  <c r="F463" i="7"/>
  <c r="D463" i="7"/>
  <c r="G462" i="7"/>
  <c r="F462" i="7"/>
  <c r="D462" i="7"/>
  <c r="G461" i="7"/>
  <c r="F461" i="7"/>
  <c r="D461" i="7"/>
  <c r="G460" i="7"/>
  <c r="F460" i="7"/>
  <c r="D460" i="7"/>
  <c r="G459" i="7"/>
  <c r="F459" i="7"/>
  <c r="D459" i="7"/>
  <c r="G458" i="7"/>
  <c r="F458" i="7"/>
  <c r="D458" i="7"/>
  <c r="G457" i="7"/>
  <c r="F457" i="7"/>
  <c r="D457" i="7"/>
  <c r="G456" i="7"/>
  <c r="F456" i="7"/>
  <c r="D456" i="7"/>
  <c r="G455" i="7"/>
  <c r="F455" i="7"/>
  <c r="D455" i="7"/>
  <c r="G454" i="7"/>
  <c r="F454" i="7"/>
  <c r="D454" i="7"/>
  <c r="G453" i="7"/>
  <c r="F453" i="7"/>
  <c r="D453" i="7"/>
  <c r="G452" i="7"/>
  <c r="F452" i="7"/>
  <c r="D452" i="7"/>
  <c r="G451" i="7"/>
  <c r="F451" i="7"/>
  <c r="D451" i="7"/>
  <c r="G450" i="7"/>
  <c r="F450" i="7"/>
  <c r="D450" i="7"/>
  <c r="G449" i="7"/>
  <c r="F449" i="7"/>
  <c r="D449" i="7"/>
  <c r="G448" i="7"/>
  <c r="F448" i="7"/>
  <c r="D448" i="7"/>
  <c r="G447" i="7"/>
  <c r="F447" i="7"/>
  <c r="D447" i="7"/>
  <c r="G446" i="7"/>
  <c r="F446" i="7"/>
  <c r="D446" i="7"/>
  <c r="G445" i="7"/>
  <c r="F445" i="7"/>
  <c r="D445" i="7"/>
  <c r="G444" i="7"/>
  <c r="F444" i="7"/>
  <c r="D444" i="7"/>
  <c r="G443" i="7"/>
  <c r="F443" i="7"/>
  <c r="D443" i="7"/>
  <c r="G442" i="7"/>
  <c r="F442" i="7"/>
  <c r="D442" i="7"/>
  <c r="G441" i="7"/>
  <c r="F441" i="7"/>
  <c r="D441" i="7"/>
  <c r="G440" i="7"/>
  <c r="F440" i="7"/>
  <c r="D440" i="7"/>
  <c r="G439" i="7"/>
  <c r="F439" i="7"/>
  <c r="D439" i="7"/>
  <c r="G438" i="7"/>
  <c r="F438" i="7"/>
  <c r="D438" i="7"/>
  <c r="G437" i="7"/>
  <c r="F437" i="7"/>
  <c r="D437" i="7"/>
  <c r="G436" i="7"/>
  <c r="F436" i="7"/>
  <c r="D436" i="7"/>
  <c r="G435" i="7"/>
  <c r="F435" i="7"/>
  <c r="D435" i="7"/>
  <c r="G434" i="7"/>
  <c r="F434" i="7"/>
  <c r="D434" i="7"/>
  <c r="G433" i="7"/>
  <c r="F433" i="7"/>
  <c r="D433" i="7"/>
  <c r="G432" i="7"/>
  <c r="F432" i="7"/>
  <c r="D432" i="7"/>
  <c r="G431" i="7"/>
  <c r="F431" i="7"/>
  <c r="D431" i="7"/>
  <c r="G430" i="7"/>
  <c r="F430" i="7"/>
  <c r="D430" i="7"/>
  <c r="G429" i="7"/>
  <c r="F429" i="7"/>
  <c r="D429" i="7"/>
  <c r="G428" i="7"/>
  <c r="F428" i="7"/>
  <c r="D428" i="7"/>
  <c r="G427" i="7"/>
  <c r="F427" i="7"/>
  <c r="D427" i="7"/>
  <c r="G426" i="7"/>
  <c r="F426" i="7"/>
  <c r="D426" i="7"/>
  <c r="G425" i="7"/>
  <c r="F425" i="7"/>
  <c r="D425" i="7"/>
  <c r="G424" i="7"/>
  <c r="F424" i="7"/>
  <c r="D424" i="7"/>
  <c r="G423" i="7"/>
  <c r="F423" i="7"/>
  <c r="D423" i="7"/>
  <c r="G422" i="7"/>
  <c r="F422" i="7"/>
  <c r="D422" i="7"/>
  <c r="G421" i="7"/>
  <c r="F421" i="7"/>
  <c r="D421" i="7"/>
  <c r="G420" i="7"/>
  <c r="F420" i="7"/>
  <c r="D420" i="7"/>
  <c r="G419" i="7"/>
  <c r="F419" i="7"/>
  <c r="D419" i="7"/>
  <c r="G418" i="7"/>
  <c r="F418" i="7"/>
  <c r="D418" i="7"/>
  <c r="G417" i="7"/>
  <c r="F417" i="7"/>
  <c r="D417" i="7"/>
  <c r="G416" i="7"/>
  <c r="F416" i="7"/>
  <c r="D416" i="7"/>
  <c r="G415" i="7"/>
  <c r="F415" i="7"/>
  <c r="D415" i="7"/>
  <c r="G414" i="7"/>
  <c r="F414" i="7"/>
  <c r="D414" i="7"/>
  <c r="G413" i="7"/>
  <c r="F413" i="7"/>
  <c r="D413" i="7"/>
  <c r="G412" i="7"/>
  <c r="F412" i="7"/>
  <c r="D412" i="7"/>
  <c r="G411" i="7"/>
  <c r="F411" i="7"/>
  <c r="D411" i="7"/>
  <c r="G410" i="7"/>
  <c r="F410" i="7"/>
  <c r="D410" i="7"/>
  <c r="G409" i="7"/>
  <c r="F409" i="7"/>
  <c r="D409" i="7"/>
  <c r="G408" i="7"/>
  <c r="F408" i="7"/>
  <c r="D408" i="7"/>
  <c r="G407" i="7"/>
  <c r="F407" i="7"/>
  <c r="D407" i="7"/>
  <c r="G406" i="7"/>
  <c r="F406" i="7"/>
  <c r="D406" i="7"/>
  <c r="G405" i="7"/>
  <c r="F405" i="7"/>
  <c r="D405" i="7"/>
  <c r="G404" i="7"/>
  <c r="F404" i="7"/>
  <c r="D404" i="7"/>
  <c r="G403" i="7"/>
  <c r="F403" i="7"/>
  <c r="D403" i="7"/>
  <c r="G402" i="7"/>
  <c r="F402" i="7"/>
  <c r="D402" i="7"/>
  <c r="G401" i="7"/>
  <c r="F401" i="7"/>
  <c r="D401" i="7"/>
  <c r="G400" i="7"/>
  <c r="F400" i="7"/>
  <c r="D400" i="7"/>
  <c r="G399" i="7"/>
  <c r="F399" i="7"/>
  <c r="D399" i="7"/>
  <c r="G398" i="7"/>
  <c r="F398" i="7"/>
  <c r="D398" i="7"/>
  <c r="G397" i="7"/>
  <c r="F397" i="7"/>
  <c r="D397" i="7"/>
  <c r="G396" i="7"/>
  <c r="F396" i="7"/>
  <c r="D396" i="7"/>
  <c r="G395" i="7"/>
  <c r="F395" i="7"/>
  <c r="D395" i="7"/>
  <c r="G394" i="7"/>
  <c r="F394" i="7"/>
  <c r="D394" i="7"/>
  <c r="G393" i="7"/>
  <c r="F393" i="7"/>
  <c r="D393" i="7"/>
  <c r="G392" i="7"/>
  <c r="F392" i="7"/>
  <c r="D392" i="7"/>
  <c r="G391" i="7"/>
  <c r="F391" i="7"/>
  <c r="D391" i="7"/>
  <c r="G390" i="7"/>
  <c r="F390" i="7"/>
  <c r="D390" i="7"/>
  <c r="G389" i="7"/>
  <c r="F389" i="7"/>
  <c r="D389" i="7"/>
  <c r="G388" i="7"/>
  <c r="F388" i="7"/>
  <c r="D388" i="7"/>
  <c r="G387" i="7"/>
  <c r="F387" i="7"/>
  <c r="D387" i="7"/>
  <c r="G386" i="7"/>
  <c r="F386" i="7"/>
  <c r="D386" i="7"/>
  <c r="G385" i="7"/>
  <c r="F385" i="7"/>
  <c r="D385" i="7"/>
  <c r="G384" i="7"/>
  <c r="F384" i="7"/>
  <c r="D384" i="7"/>
  <c r="G383" i="7"/>
  <c r="F383" i="7"/>
  <c r="D383" i="7"/>
  <c r="G382" i="7"/>
  <c r="F382" i="7"/>
  <c r="D382" i="7"/>
  <c r="G381" i="7"/>
  <c r="F381" i="7"/>
  <c r="D381" i="7"/>
  <c r="G380" i="7"/>
  <c r="F380" i="7"/>
  <c r="D380" i="7"/>
  <c r="G379" i="7"/>
  <c r="F379" i="7"/>
  <c r="D379" i="7"/>
  <c r="G378" i="7"/>
  <c r="F378" i="7"/>
  <c r="D378" i="7"/>
  <c r="G377" i="7"/>
  <c r="F377" i="7"/>
  <c r="D377" i="7"/>
  <c r="G376" i="7"/>
  <c r="F376" i="7"/>
  <c r="D376" i="7"/>
  <c r="G375" i="7"/>
  <c r="F375" i="7"/>
  <c r="D375" i="7"/>
  <c r="G374" i="7"/>
  <c r="F374" i="7"/>
  <c r="D374" i="7"/>
  <c r="G373" i="7"/>
  <c r="F373" i="7"/>
  <c r="D373" i="7"/>
  <c r="G372" i="7"/>
  <c r="F372" i="7"/>
  <c r="D372" i="7"/>
  <c r="G371" i="7"/>
  <c r="F371" i="7"/>
  <c r="D371" i="7"/>
  <c r="G370" i="7"/>
  <c r="F370" i="7"/>
  <c r="D370" i="7"/>
  <c r="G369" i="7"/>
  <c r="F369" i="7"/>
  <c r="D369" i="7"/>
  <c r="G368" i="7"/>
  <c r="F368" i="7"/>
  <c r="D368" i="7"/>
  <c r="G367" i="7"/>
  <c r="F367" i="7"/>
  <c r="D367" i="7"/>
  <c r="G366" i="7"/>
  <c r="F366" i="7"/>
  <c r="D366" i="7"/>
  <c r="G365" i="7"/>
  <c r="F365" i="7"/>
  <c r="D365" i="7"/>
  <c r="G364" i="7"/>
  <c r="F364" i="7"/>
  <c r="D364" i="7"/>
  <c r="G363" i="7"/>
  <c r="F363" i="7"/>
  <c r="D363" i="7"/>
  <c r="G362" i="7"/>
  <c r="F362" i="7"/>
  <c r="D362" i="7"/>
  <c r="G361" i="7"/>
  <c r="F361" i="7"/>
  <c r="D361" i="7"/>
  <c r="G360" i="7"/>
  <c r="F360" i="7"/>
  <c r="D360" i="7"/>
  <c r="G359" i="7"/>
  <c r="F359" i="7"/>
  <c r="D359" i="7"/>
  <c r="G358" i="7"/>
  <c r="F358" i="7"/>
  <c r="D358" i="7"/>
  <c r="G357" i="7"/>
  <c r="F357" i="7"/>
  <c r="D357" i="7"/>
  <c r="G356" i="7"/>
  <c r="F356" i="7"/>
  <c r="D356" i="7"/>
  <c r="G355" i="7"/>
  <c r="F355" i="7"/>
  <c r="D355" i="7"/>
  <c r="G354" i="7"/>
  <c r="F354" i="7"/>
  <c r="D354" i="7"/>
  <c r="G353" i="7"/>
  <c r="F353" i="7"/>
  <c r="D353" i="7"/>
  <c r="G352" i="7"/>
  <c r="F352" i="7"/>
  <c r="D352" i="7"/>
  <c r="G351" i="7"/>
  <c r="F351" i="7"/>
  <c r="D351" i="7"/>
  <c r="G350" i="7"/>
  <c r="F350" i="7"/>
  <c r="D350" i="7"/>
  <c r="G349" i="7"/>
  <c r="F349" i="7"/>
  <c r="D349" i="7"/>
  <c r="G348" i="7"/>
  <c r="F348" i="7"/>
  <c r="D348" i="7"/>
  <c r="G347" i="7"/>
  <c r="F347" i="7"/>
  <c r="D347" i="7"/>
  <c r="G346" i="7"/>
  <c r="F346" i="7"/>
  <c r="D346" i="7"/>
  <c r="G345" i="7"/>
  <c r="F345" i="7"/>
  <c r="D345" i="7"/>
  <c r="G344" i="7"/>
  <c r="F344" i="7"/>
  <c r="D344" i="7"/>
  <c r="G343" i="7"/>
  <c r="F343" i="7"/>
  <c r="D343" i="7"/>
  <c r="G342" i="7"/>
  <c r="F342" i="7"/>
  <c r="D342" i="7"/>
  <c r="G341" i="7"/>
  <c r="F341" i="7"/>
  <c r="D341" i="7"/>
  <c r="G340" i="7"/>
  <c r="F340" i="7"/>
  <c r="D340" i="7"/>
  <c r="G339" i="7"/>
  <c r="F339" i="7"/>
  <c r="D339" i="7"/>
  <c r="G338" i="7"/>
  <c r="F338" i="7"/>
  <c r="D338" i="7"/>
  <c r="G337" i="7"/>
  <c r="F337" i="7"/>
  <c r="D337" i="7"/>
  <c r="G336" i="7"/>
  <c r="F336" i="7"/>
  <c r="D336" i="7"/>
  <c r="G335" i="7"/>
  <c r="F335" i="7"/>
  <c r="D335" i="7"/>
  <c r="G334" i="7"/>
  <c r="F334" i="7"/>
  <c r="D334" i="7"/>
  <c r="G333" i="7"/>
  <c r="F333" i="7"/>
  <c r="D333" i="7"/>
  <c r="G332" i="7"/>
  <c r="F332" i="7"/>
  <c r="D332" i="7"/>
  <c r="G331" i="7"/>
  <c r="F331" i="7"/>
  <c r="D331" i="7"/>
  <c r="G330" i="7"/>
  <c r="F330" i="7"/>
  <c r="D330" i="7"/>
  <c r="G329" i="7"/>
  <c r="F329" i="7"/>
  <c r="D329" i="7"/>
  <c r="G328" i="7"/>
  <c r="F328" i="7"/>
  <c r="D328" i="7"/>
  <c r="G327" i="7"/>
  <c r="F327" i="7"/>
  <c r="D327" i="7"/>
  <c r="G326" i="7"/>
  <c r="F326" i="7"/>
  <c r="D326" i="7"/>
  <c r="G325" i="7"/>
  <c r="F325" i="7"/>
  <c r="D325" i="7"/>
  <c r="G324" i="7"/>
  <c r="F324" i="7"/>
  <c r="D324" i="7"/>
  <c r="G323" i="7"/>
  <c r="F323" i="7"/>
  <c r="D323" i="7"/>
  <c r="G322" i="7"/>
  <c r="F322" i="7"/>
  <c r="D322" i="7"/>
  <c r="G321" i="7"/>
  <c r="F321" i="7"/>
  <c r="D321" i="7"/>
  <c r="G320" i="7"/>
  <c r="F320" i="7"/>
  <c r="D320" i="7"/>
  <c r="G319" i="7"/>
  <c r="F319" i="7"/>
  <c r="D319" i="7"/>
  <c r="G318" i="7"/>
  <c r="F318" i="7"/>
  <c r="D318" i="7"/>
  <c r="G317" i="7"/>
  <c r="F317" i="7"/>
  <c r="D317" i="7"/>
  <c r="G316" i="7"/>
  <c r="F316" i="7"/>
  <c r="D316" i="7"/>
  <c r="G315" i="7"/>
  <c r="F315" i="7"/>
  <c r="D315" i="7"/>
  <c r="G314" i="7"/>
  <c r="F314" i="7"/>
  <c r="D314" i="7"/>
  <c r="G313" i="7"/>
  <c r="F313" i="7"/>
  <c r="D313" i="7"/>
  <c r="G312" i="7"/>
  <c r="F312" i="7"/>
  <c r="D312" i="7"/>
  <c r="G311" i="7"/>
  <c r="F311" i="7"/>
  <c r="D311" i="7"/>
  <c r="G310" i="7"/>
  <c r="F310" i="7"/>
  <c r="D310" i="7"/>
  <c r="G309" i="7"/>
  <c r="F309" i="7"/>
  <c r="D309" i="7"/>
  <c r="G308" i="7"/>
  <c r="F308" i="7"/>
  <c r="D308" i="7"/>
  <c r="G307" i="7"/>
  <c r="F307" i="7"/>
  <c r="D307" i="7"/>
  <c r="G306" i="7"/>
  <c r="F306" i="7"/>
  <c r="D306" i="7"/>
  <c r="G305" i="7"/>
  <c r="F305" i="7"/>
  <c r="D305" i="7"/>
  <c r="G304" i="7"/>
  <c r="F304" i="7"/>
  <c r="D304" i="7"/>
  <c r="G303" i="7"/>
  <c r="F303" i="7"/>
  <c r="D303" i="7"/>
  <c r="G302" i="7"/>
  <c r="F302" i="7"/>
  <c r="D302" i="7"/>
  <c r="G301" i="7"/>
  <c r="F301" i="7"/>
  <c r="D301" i="7"/>
  <c r="G300" i="7"/>
  <c r="F300" i="7"/>
  <c r="D300" i="7"/>
  <c r="G299" i="7"/>
  <c r="F299" i="7"/>
  <c r="D299" i="7"/>
  <c r="G298" i="7"/>
  <c r="F298" i="7"/>
  <c r="D298" i="7"/>
  <c r="G297" i="7"/>
  <c r="F297" i="7"/>
  <c r="D297" i="7"/>
  <c r="G296" i="7"/>
  <c r="F296" i="7"/>
  <c r="D296" i="7"/>
  <c r="G295" i="7"/>
  <c r="F295" i="7"/>
  <c r="D295" i="7"/>
  <c r="G294" i="7"/>
  <c r="F294" i="7"/>
  <c r="D294" i="7"/>
  <c r="G293" i="7"/>
  <c r="F293" i="7"/>
  <c r="D293" i="7"/>
  <c r="G292" i="7"/>
  <c r="F292" i="7"/>
  <c r="D292" i="7"/>
  <c r="G291" i="7"/>
  <c r="F291" i="7"/>
  <c r="D291" i="7"/>
  <c r="G290" i="7"/>
  <c r="F290" i="7"/>
  <c r="D290" i="7"/>
  <c r="G289" i="7"/>
  <c r="F289" i="7"/>
  <c r="D289" i="7"/>
  <c r="G288" i="7"/>
  <c r="F288" i="7"/>
  <c r="D288" i="7"/>
  <c r="G287" i="7"/>
  <c r="F287" i="7"/>
  <c r="D287" i="7"/>
  <c r="G286" i="7"/>
  <c r="F286" i="7"/>
  <c r="D286" i="7"/>
  <c r="G285" i="7"/>
  <c r="F285" i="7"/>
  <c r="D285" i="7"/>
  <c r="G284" i="7"/>
  <c r="F284" i="7"/>
  <c r="D284" i="7"/>
  <c r="G283" i="7"/>
  <c r="F283" i="7"/>
  <c r="D283" i="7"/>
  <c r="G282" i="7"/>
  <c r="F282" i="7"/>
  <c r="D282" i="7"/>
  <c r="G281" i="7"/>
  <c r="F281" i="7"/>
  <c r="D281" i="7"/>
  <c r="G280" i="7"/>
  <c r="F280" i="7"/>
  <c r="D280" i="7"/>
  <c r="G279" i="7"/>
  <c r="F279" i="7"/>
  <c r="D279" i="7"/>
  <c r="G278" i="7"/>
  <c r="F278" i="7"/>
  <c r="D278" i="7"/>
  <c r="G277" i="7"/>
  <c r="F277" i="7"/>
  <c r="D277" i="7"/>
  <c r="G276" i="7"/>
  <c r="F276" i="7"/>
  <c r="D276" i="7"/>
  <c r="G275" i="7"/>
  <c r="F275" i="7"/>
  <c r="D275" i="7"/>
  <c r="G274" i="7"/>
  <c r="F274" i="7"/>
  <c r="D274" i="7"/>
  <c r="G273" i="7"/>
  <c r="F273" i="7"/>
  <c r="D273" i="7"/>
  <c r="G272" i="7"/>
  <c r="F272" i="7"/>
  <c r="D272" i="7"/>
  <c r="G271" i="7"/>
  <c r="F271" i="7"/>
  <c r="D271" i="7"/>
  <c r="G270" i="7"/>
  <c r="F270" i="7"/>
  <c r="D270" i="7"/>
  <c r="G269" i="7"/>
  <c r="F269" i="7"/>
  <c r="D269" i="7"/>
  <c r="G268" i="7"/>
  <c r="F268" i="7"/>
  <c r="D268" i="7"/>
  <c r="G267" i="7"/>
  <c r="F267" i="7"/>
  <c r="D267" i="7"/>
  <c r="G266" i="7"/>
  <c r="F266" i="7"/>
  <c r="D266" i="7"/>
  <c r="G265" i="7"/>
  <c r="F265" i="7"/>
  <c r="D265" i="7"/>
  <c r="G264" i="7"/>
  <c r="F264" i="7"/>
  <c r="D264" i="7"/>
  <c r="G263" i="7"/>
  <c r="F263" i="7"/>
  <c r="D263" i="7"/>
  <c r="G262" i="7"/>
  <c r="F262" i="7"/>
  <c r="D262" i="7"/>
  <c r="G261" i="7"/>
  <c r="F261" i="7"/>
  <c r="D261" i="7"/>
  <c r="G260" i="7"/>
  <c r="F260" i="7"/>
  <c r="D260" i="7"/>
  <c r="G259" i="7"/>
  <c r="F259" i="7"/>
  <c r="D259" i="7"/>
  <c r="G258" i="7"/>
  <c r="F258" i="7"/>
  <c r="D258" i="7"/>
  <c r="G257" i="7"/>
  <c r="F257" i="7"/>
  <c r="D257" i="7"/>
  <c r="G256" i="7"/>
  <c r="F256" i="7"/>
  <c r="D256" i="7"/>
  <c r="G255" i="7"/>
  <c r="F255" i="7"/>
  <c r="D255" i="7"/>
  <c r="G254" i="7"/>
  <c r="F254" i="7"/>
  <c r="D254" i="7"/>
  <c r="G253" i="7"/>
  <c r="F253" i="7"/>
  <c r="D253" i="7"/>
  <c r="G252" i="7"/>
  <c r="F252" i="7"/>
  <c r="D252" i="7"/>
  <c r="G251" i="7"/>
  <c r="F251" i="7"/>
  <c r="D251" i="7"/>
  <c r="G250" i="7"/>
  <c r="F250" i="7"/>
  <c r="D250" i="7"/>
  <c r="G249" i="7"/>
  <c r="F249" i="7"/>
  <c r="D249" i="7"/>
  <c r="G248" i="7"/>
  <c r="F248" i="7"/>
  <c r="D248" i="7"/>
  <c r="G247" i="7"/>
  <c r="F247" i="7"/>
  <c r="D247" i="7"/>
  <c r="G246" i="7"/>
  <c r="F246" i="7"/>
  <c r="D246" i="7"/>
  <c r="G245" i="7"/>
  <c r="F245" i="7"/>
  <c r="D245" i="7"/>
  <c r="G244" i="7"/>
  <c r="F244" i="7"/>
  <c r="D244" i="7"/>
  <c r="G243" i="7"/>
  <c r="F243" i="7"/>
  <c r="D243" i="7"/>
  <c r="G242" i="7"/>
  <c r="F242" i="7"/>
  <c r="D242" i="7"/>
  <c r="G241" i="7"/>
  <c r="F241" i="7"/>
  <c r="D241" i="7"/>
  <c r="G240" i="7"/>
  <c r="F240" i="7"/>
  <c r="D240" i="7"/>
  <c r="G239" i="7"/>
  <c r="F239" i="7"/>
  <c r="D239" i="7"/>
  <c r="G238" i="7"/>
  <c r="F238" i="7"/>
  <c r="D238" i="7"/>
  <c r="G237" i="7"/>
  <c r="F237" i="7"/>
  <c r="D237" i="7"/>
  <c r="G236" i="7"/>
  <c r="F236" i="7"/>
  <c r="D236" i="7"/>
  <c r="G235" i="7"/>
  <c r="F235" i="7"/>
  <c r="D235" i="7"/>
  <c r="G234" i="7"/>
  <c r="F234" i="7"/>
  <c r="D234" i="7"/>
  <c r="G233" i="7"/>
  <c r="F233" i="7"/>
  <c r="D233" i="7"/>
  <c r="G232" i="7"/>
  <c r="F232" i="7"/>
  <c r="D232" i="7"/>
  <c r="G231" i="7"/>
  <c r="F231" i="7"/>
  <c r="D231" i="7"/>
  <c r="G230" i="7"/>
  <c r="F230" i="7"/>
  <c r="D230" i="7"/>
  <c r="G229" i="7"/>
  <c r="F229" i="7"/>
  <c r="D229" i="7"/>
  <c r="G228" i="7"/>
  <c r="F228" i="7"/>
  <c r="D228" i="7"/>
  <c r="G227" i="7"/>
  <c r="F227" i="7"/>
  <c r="D227" i="7"/>
  <c r="G226" i="7"/>
  <c r="F226" i="7"/>
  <c r="D226" i="7"/>
  <c r="G225" i="7"/>
  <c r="F225" i="7"/>
  <c r="D225" i="7"/>
  <c r="G224" i="7"/>
  <c r="F224" i="7"/>
  <c r="D224" i="7"/>
  <c r="G223" i="7"/>
  <c r="F223" i="7"/>
  <c r="D223" i="7"/>
  <c r="G222" i="7"/>
  <c r="F222" i="7"/>
  <c r="D222" i="7"/>
  <c r="G221" i="7"/>
  <c r="F221" i="7"/>
  <c r="D221" i="7"/>
  <c r="G220" i="7"/>
  <c r="F220" i="7"/>
  <c r="D220" i="7"/>
  <c r="G219" i="7"/>
  <c r="F219" i="7"/>
  <c r="D219" i="7"/>
  <c r="G218" i="7"/>
  <c r="F218" i="7"/>
  <c r="D218" i="7"/>
  <c r="G217" i="7"/>
  <c r="F217" i="7"/>
  <c r="D217" i="7"/>
  <c r="G216" i="7"/>
  <c r="F216" i="7"/>
  <c r="D216" i="7"/>
  <c r="G215" i="7"/>
  <c r="F215" i="7"/>
  <c r="D215" i="7"/>
  <c r="G214" i="7"/>
  <c r="F214" i="7"/>
  <c r="D214" i="7"/>
  <c r="G213" i="7"/>
  <c r="F213" i="7"/>
  <c r="D213" i="7"/>
  <c r="G212" i="7"/>
  <c r="F212" i="7"/>
  <c r="D212" i="7"/>
  <c r="G211" i="7"/>
  <c r="F211" i="7"/>
  <c r="D211" i="7"/>
  <c r="G210" i="7"/>
  <c r="F210" i="7"/>
  <c r="D210" i="7"/>
  <c r="G209" i="7"/>
  <c r="F209" i="7"/>
  <c r="D209" i="7"/>
  <c r="G208" i="7"/>
  <c r="F208" i="7"/>
  <c r="D208" i="7"/>
  <c r="G207" i="7"/>
  <c r="F207" i="7"/>
  <c r="D207" i="7"/>
  <c r="G206" i="7"/>
  <c r="F206" i="7"/>
  <c r="D206" i="7"/>
  <c r="G205" i="7"/>
  <c r="F205" i="7"/>
  <c r="D205" i="7"/>
  <c r="G204" i="7"/>
  <c r="F204" i="7"/>
  <c r="D204" i="7"/>
  <c r="G203" i="7"/>
  <c r="F203" i="7"/>
  <c r="D203" i="7"/>
  <c r="G202" i="7"/>
  <c r="F202" i="7"/>
  <c r="D202" i="7"/>
  <c r="G201" i="7"/>
  <c r="F201" i="7"/>
  <c r="D201" i="7"/>
  <c r="G200" i="7"/>
  <c r="F200" i="7"/>
  <c r="D200" i="7"/>
  <c r="G199" i="7"/>
  <c r="F199" i="7"/>
  <c r="D199" i="7"/>
  <c r="G198" i="7"/>
  <c r="F198" i="7"/>
  <c r="D198" i="7"/>
  <c r="G197" i="7"/>
  <c r="F197" i="7"/>
  <c r="D197" i="7"/>
  <c r="G196" i="7"/>
  <c r="F196" i="7"/>
  <c r="D196" i="7"/>
  <c r="G195" i="7"/>
  <c r="F195" i="7"/>
  <c r="D195" i="7"/>
  <c r="G194" i="7"/>
  <c r="F194" i="7"/>
  <c r="D194" i="7"/>
  <c r="G193" i="7"/>
  <c r="F193" i="7"/>
  <c r="D193" i="7"/>
  <c r="G192" i="7"/>
  <c r="F192" i="7"/>
  <c r="D192" i="7"/>
  <c r="G191" i="7"/>
  <c r="F191" i="7"/>
  <c r="D191" i="7"/>
  <c r="G190" i="7"/>
  <c r="F190" i="7"/>
  <c r="D190" i="7"/>
  <c r="G189" i="7"/>
  <c r="F189" i="7"/>
  <c r="D189" i="7"/>
  <c r="G188" i="7"/>
  <c r="F188" i="7"/>
  <c r="D188" i="7"/>
  <c r="G187" i="7"/>
  <c r="F187" i="7"/>
  <c r="D187" i="7"/>
  <c r="G186" i="7"/>
  <c r="F186" i="7"/>
  <c r="D186" i="7"/>
  <c r="G185" i="7"/>
  <c r="F185" i="7"/>
  <c r="D185" i="7"/>
  <c r="G184" i="7"/>
  <c r="F184" i="7"/>
  <c r="D184" i="7"/>
  <c r="G183" i="7"/>
  <c r="F183" i="7"/>
  <c r="D183" i="7"/>
  <c r="G182" i="7"/>
  <c r="F182" i="7"/>
  <c r="D182" i="7"/>
  <c r="G181" i="7"/>
  <c r="F181" i="7"/>
  <c r="D181" i="7"/>
  <c r="G180" i="7"/>
  <c r="F180" i="7"/>
  <c r="D180" i="7"/>
  <c r="G179" i="7"/>
  <c r="F179" i="7"/>
  <c r="D179" i="7"/>
  <c r="G178" i="7"/>
  <c r="F178" i="7"/>
  <c r="D178" i="7"/>
  <c r="G177" i="7"/>
  <c r="F177" i="7"/>
  <c r="D177" i="7"/>
  <c r="G176" i="7"/>
  <c r="F176" i="7"/>
  <c r="D176" i="7"/>
  <c r="G175" i="7"/>
  <c r="F175" i="7"/>
  <c r="D175" i="7"/>
  <c r="G174" i="7"/>
  <c r="F174" i="7"/>
  <c r="D174" i="7"/>
  <c r="G173" i="7"/>
  <c r="F173" i="7"/>
  <c r="D173" i="7"/>
  <c r="G172" i="7"/>
  <c r="F172" i="7"/>
  <c r="D172" i="7"/>
  <c r="G171" i="7"/>
  <c r="F171" i="7"/>
  <c r="D171" i="7"/>
  <c r="G170" i="7"/>
  <c r="F170" i="7"/>
  <c r="D170" i="7"/>
  <c r="G169" i="7"/>
  <c r="F169" i="7"/>
  <c r="D169" i="7"/>
  <c r="G168" i="7"/>
  <c r="F168" i="7"/>
  <c r="D168" i="7"/>
  <c r="G167" i="7"/>
  <c r="F167" i="7"/>
  <c r="D167" i="7"/>
  <c r="G166" i="7"/>
  <c r="F166" i="7"/>
  <c r="D166" i="7"/>
  <c r="G165" i="7"/>
  <c r="F165" i="7"/>
  <c r="D165" i="7"/>
  <c r="G164" i="7"/>
  <c r="F164" i="7"/>
  <c r="D164" i="7"/>
  <c r="G163" i="7"/>
  <c r="F163" i="7"/>
  <c r="D163" i="7"/>
  <c r="G162" i="7"/>
  <c r="F162" i="7"/>
  <c r="D162" i="7"/>
  <c r="G161" i="7"/>
  <c r="F161" i="7"/>
  <c r="D161" i="7"/>
  <c r="G160" i="7"/>
  <c r="F160" i="7"/>
  <c r="D160" i="7"/>
  <c r="G159" i="7"/>
  <c r="F159" i="7"/>
  <c r="D159" i="7"/>
  <c r="G158" i="7"/>
  <c r="F158" i="7"/>
  <c r="D158" i="7"/>
  <c r="G157" i="7"/>
  <c r="F157" i="7"/>
  <c r="D157" i="7"/>
  <c r="G156" i="7"/>
  <c r="F156" i="7"/>
  <c r="D156" i="7"/>
  <c r="G155" i="7"/>
  <c r="F155" i="7"/>
  <c r="D155" i="7"/>
  <c r="G154" i="7"/>
  <c r="F154" i="7"/>
  <c r="D154" i="7"/>
  <c r="G153" i="7"/>
  <c r="F153" i="7"/>
  <c r="D153" i="7"/>
  <c r="G152" i="7"/>
  <c r="F152" i="7"/>
  <c r="D152" i="7"/>
  <c r="G151" i="7"/>
  <c r="F151" i="7"/>
  <c r="D151" i="7"/>
  <c r="G150" i="7"/>
  <c r="F150" i="7"/>
  <c r="D150" i="7"/>
  <c r="G149" i="7"/>
  <c r="F149" i="7"/>
  <c r="D149" i="7"/>
  <c r="G148" i="7"/>
  <c r="F148" i="7"/>
  <c r="D148" i="7"/>
  <c r="G147" i="7"/>
  <c r="F147" i="7"/>
  <c r="D147" i="7"/>
  <c r="G146" i="7"/>
  <c r="F146" i="7"/>
  <c r="D146" i="7"/>
  <c r="G145" i="7"/>
  <c r="F145" i="7"/>
  <c r="D145" i="7"/>
  <c r="G144" i="7"/>
  <c r="F144" i="7"/>
  <c r="D144" i="7"/>
  <c r="G143" i="7"/>
  <c r="F143" i="7"/>
  <c r="D143" i="7"/>
  <c r="G142" i="7"/>
  <c r="F142" i="7"/>
  <c r="D142" i="7"/>
  <c r="G141" i="7"/>
  <c r="F141" i="7"/>
  <c r="D141" i="7"/>
  <c r="G140" i="7"/>
  <c r="F140" i="7"/>
  <c r="D140" i="7"/>
  <c r="G139" i="7"/>
  <c r="F139" i="7"/>
  <c r="D139" i="7"/>
  <c r="G138" i="7"/>
  <c r="F138" i="7"/>
  <c r="D138" i="7"/>
  <c r="G137" i="7"/>
  <c r="F137" i="7"/>
  <c r="D137" i="7"/>
  <c r="G136" i="7"/>
  <c r="F136" i="7"/>
  <c r="D136" i="7"/>
  <c r="G135" i="7"/>
  <c r="F135" i="7"/>
  <c r="D135" i="7"/>
  <c r="G134" i="7"/>
  <c r="F134" i="7"/>
  <c r="D134" i="7"/>
  <c r="G133" i="7"/>
  <c r="F133" i="7"/>
  <c r="D133" i="7"/>
  <c r="G132" i="7"/>
  <c r="F132" i="7"/>
  <c r="D132" i="7"/>
  <c r="G131" i="7"/>
  <c r="F131" i="7"/>
  <c r="D131" i="7"/>
  <c r="G130" i="7"/>
  <c r="F130" i="7"/>
  <c r="D130" i="7"/>
  <c r="G129" i="7"/>
  <c r="F129" i="7"/>
  <c r="D129" i="7"/>
  <c r="G128" i="7"/>
  <c r="F128" i="7"/>
  <c r="D128" i="7"/>
  <c r="G127" i="7"/>
  <c r="F127" i="7"/>
  <c r="D127" i="7"/>
  <c r="G126" i="7"/>
  <c r="F126" i="7"/>
  <c r="D126" i="7"/>
  <c r="G125" i="7"/>
  <c r="F125" i="7"/>
  <c r="D125" i="7"/>
  <c r="G124" i="7"/>
  <c r="F124" i="7"/>
  <c r="D124" i="7"/>
  <c r="G123" i="7"/>
  <c r="F123" i="7"/>
  <c r="D123" i="7"/>
  <c r="G122" i="7"/>
  <c r="F122" i="7"/>
  <c r="D122" i="7"/>
  <c r="G121" i="7"/>
  <c r="F121" i="7"/>
  <c r="D121" i="7"/>
  <c r="G120" i="7"/>
  <c r="F120" i="7"/>
  <c r="D120" i="7"/>
  <c r="G119" i="7"/>
  <c r="F119" i="7"/>
  <c r="D119" i="7"/>
  <c r="G118" i="7"/>
  <c r="F118" i="7"/>
  <c r="D118" i="7"/>
  <c r="G117" i="7"/>
  <c r="F117" i="7"/>
  <c r="D117" i="7"/>
  <c r="G116" i="7"/>
  <c r="F116" i="7"/>
  <c r="D116" i="7"/>
  <c r="G115" i="7"/>
  <c r="F115" i="7"/>
  <c r="D115" i="7"/>
  <c r="G114" i="7"/>
  <c r="F114" i="7"/>
  <c r="D114" i="7"/>
  <c r="G113" i="7"/>
  <c r="F113" i="7"/>
  <c r="D113" i="7"/>
  <c r="G112" i="7"/>
  <c r="F112" i="7"/>
  <c r="D112" i="7"/>
  <c r="G111" i="7"/>
  <c r="F111" i="7"/>
  <c r="D111" i="7"/>
  <c r="G110" i="7"/>
  <c r="F110" i="7"/>
  <c r="D110" i="7"/>
  <c r="G109" i="7"/>
  <c r="F109" i="7"/>
  <c r="D109" i="7"/>
  <c r="G108" i="7"/>
  <c r="F108" i="7"/>
  <c r="D108" i="7"/>
  <c r="G107" i="7"/>
  <c r="F107" i="7"/>
  <c r="D107" i="7"/>
  <c r="G106" i="7"/>
  <c r="F106" i="7"/>
  <c r="D106" i="7"/>
  <c r="G105" i="7"/>
  <c r="F105" i="7"/>
  <c r="D105" i="7"/>
  <c r="G104" i="7"/>
  <c r="F104" i="7"/>
  <c r="D104" i="7"/>
  <c r="G103" i="7"/>
  <c r="F103" i="7"/>
  <c r="D103" i="7"/>
  <c r="G102" i="7"/>
  <c r="F102" i="7"/>
  <c r="D102" i="7"/>
  <c r="G101" i="7"/>
  <c r="F101" i="7"/>
  <c r="D101" i="7"/>
  <c r="G100" i="7"/>
  <c r="F100" i="7"/>
  <c r="D100" i="7"/>
  <c r="G99" i="7"/>
  <c r="F99" i="7"/>
  <c r="D99" i="7"/>
  <c r="G98" i="7"/>
  <c r="F98" i="7"/>
  <c r="D98" i="7"/>
  <c r="G97" i="7"/>
  <c r="F97" i="7"/>
  <c r="D97" i="7"/>
  <c r="G96" i="7"/>
  <c r="F96" i="7"/>
  <c r="D96" i="7"/>
  <c r="G95" i="7"/>
  <c r="F95" i="7"/>
  <c r="D95" i="7"/>
  <c r="G94" i="7"/>
  <c r="F94" i="7"/>
  <c r="D94" i="7"/>
  <c r="G93" i="7"/>
  <c r="F93" i="7"/>
  <c r="D93" i="7"/>
  <c r="G92" i="7"/>
  <c r="F92" i="7"/>
  <c r="D92" i="7"/>
  <c r="G91" i="7"/>
  <c r="F91" i="7"/>
  <c r="D91" i="7"/>
  <c r="G90" i="7"/>
  <c r="F90" i="7"/>
  <c r="D90" i="7"/>
  <c r="G89" i="7"/>
  <c r="F89" i="7"/>
  <c r="D89" i="7"/>
  <c r="G88" i="7"/>
  <c r="F88" i="7"/>
  <c r="D88" i="7"/>
  <c r="G87" i="7"/>
  <c r="F87" i="7"/>
  <c r="D87" i="7"/>
  <c r="G86" i="7"/>
  <c r="F86" i="7"/>
  <c r="D86" i="7"/>
  <c r="G85" i="7"/>
  <c r="F85" i="7"/>
  <c r="D85" i="7"/>
  <c r="G84" i="7"/>
  <c r="F84" i="7"/>
  <c r="D84" i="7"/>
  <c r="G83" i="7"/>
  <c r="F83" i="7"/>
  <c r="D83" i="7"/>
  <c r="G82" i="7"/>
  <c r="F82" i="7"/>
  <c r="D82" i="7"/>
  <c r="G81" i="7"/>
  <c r="F81" i="7"/>
  <c r="D81" i="7"/>
  <c r="G80" i="7"/>
  <c r="F80" i="7"/>
  <c r="D80" i="7"/>
  <c r="G79" i="7"/>
  <c r="F79" i="7"/>
  <c r="D79" i="7"/>
  <c r="G78" i="7"/>
  <c r="F78" i="7"/>
  <c r="D78" i="7"/>
  <c r="G77" i="7"/>
  <c r="F77" i="7"/>
  <c r="D77" i="7"/>
  <c r="G76" i="7"/>
  <c r="F76" i="7"/>
  <c r="D76" i="7"/>
  <c r="G75" i="7"/>
  <c r="F75" i="7"/>
  <c r="D75" i="7"/>
  <c r="G74" i="7"/>
  <c r="F74" i="7"/>
  <c r="D74" i="7"/>
  <c r="G73" i="7"/>
  <c r="F73" i="7"/>
  <c r="D73" i="7"/>
  <c r="G72" i="7"/>
  <c r="F72" i="7"/>
  <c r="D72" i="7"/>
  <c r="G71" i="7"/>
  <c r="F71" i="7"/>
  <c r="D71" i="7"/>
  <c r="G70" i="7"/>
  <c r="F70" i="7"/>
  <c r="D70" i="7"/>
  <c r="G69" i="7"/>
  <c r="F69" i="7"/>
  <c r="D69" i="7"/>
  <c r="G68" i="7"/>
  <c r="F68" i="7"/>
  <c r="D68" i="7"/>
  <c r="G67" i="7"/>
  <c r="F67" i="7"/>
  <c r="D67" i="7"/>
  <c r="G66" i="7"/>
  <c r="F66" i="7"/>
  <c r="D66" i="7"/>
  <c r="G65" i="7"/>
  <c r="F65" i="7"/>
  <c r="D65" i="7"/>
  <c r="G64" i="7"/>
  <c r="F64" i="7"/>
  <c r="D64" i="7"/>
  <c r="G63" i="7"/>
  <c r="F63" i="7"/>
  <c r="D63" i="7"/>
  <c r="G62" i="7"/>
  <c r="F62" i="7"/>
  <c r="D62" i="7"/>
  <c r="G61" i="7"/>
  <c r="F61" i="7"/>
  <c r="D61" i="7"/>
  <c r="G60" i="7"/>
  <c r="F60" i="7"/>
  <c r="D60" i="7"/>
  <c r="G59" i="7"/>
  <c r="F59" i="7"/>
  <c r="D59" i="7"/>
  <c r="G58" i="7"/>
  <c r="F58" i="7"/>
  <c r="D58" i="7"/>
  <c r="G57" i="7"/>
  <c r="F57" i="7"/>
  <c r="D57" i="7"/>
  <c r="G56" i="7"/>
  <c r="F56" i="7"/>
  <c r="D56" i="7"/>
  <c r="G55" i="7"/>
  <c r="F55" i="7"/>
  <c r="D55" i="7"/>
  <c r="G54" i="7"/>
  <c r="F54" i="7"/>
  <c r="D54" i="7"/>
  <c r="G53" i="7"/>
  <c r="F53" i="7"/>
  <c r="D53" i="7"/>
  <c r="G52" i="7"/>
  <c r="F52" i="7"/>
  <c r="D52" i="7"/>
  <c r="G51" i="7"/>
  <c r="F51" i="7"/>
  <c r="D51" i="7"/>
  <c r="G50" i="7"/>
  <c r="F50" i="7"/>
  <c r="D50" i="7"/>
  <c r="G49" i="7"/>
  <c r="F49" i="7"/>
  <c r="D49" i="7"/>
  <c r="G48" i="7"/>
  <c r="F48" i="7"/>
  <c r="D48" i="7"/>
  <c r="G47" i="7"/>
  <c r="F47" i="7"/>
  <c r="D47" i="7"/>
  <c r="G46" i="7"/>
  <c r="F46" i="7"/>
  <c r="D46" i="7"/>
  <c r="G45" i="7"/>
  <c r="F45" i="7"/>
  <c r="D45" i="7"/>
  <c r="G44" i="7"/>
  <c r="F44" i="7"/>
  <c r="D44" i="7"/>
  <c r="G43" i="7"/>
  <c r="F43" i="7"/>
  <c r="D43" i="7"/>
  <c r="G42" i="7"/>
  <c r="F42" i="7"/>
  <c r="D42" i="7"/>
  <c r="G41" i="7"/>
  <c r="F41" i="7"/>
  <c r="D41" i="7"/>
  <c r="G40" i="7"/>
  <c r="F40" i="7"/>
  <c r="D40" i="7"/>
  <c r="G39" i="7"/>
  <c r="F39" i="7"/>
  <c r="D39" i="7"/>
  <c r="G38" i="7"/>
  <c r="F38" i="7"/>
  <c r="D38" i="7"/>
  <c r="G37" i="7"/>
  <c r="F37" i="7"/>
  <c r="D37" i="7"/>
  <c r="G36" i="7"/>
  <c r="F36" i="7"/>
  <c r="D36" i="7"/>
  <c r="G35" i="7"/>
  <c r="F35" i="7"/>
  <c r="D35" i="7"/>
  <c r="G34" i="7"/>
  <c r="F34" i="7"/>
  <c r="D34" i="7"/>
  <c r="G33" i="7"/>
  <c r="F33" i="7"/>
  <c r="D33" i="7"/>
  <c r="G32" i="7"/>
  <c r="F32" i="7"/>
  <c r="D32" i="7"/>
  <c r="G31" i="7"/>
  <c r="F31" i="7"/>
  <c r="D31" i="7"/>
  <c r="G30" i="7"/>
  <c r="F30" i="7"/>
  <c r="D30" i="7"/>
  <c r="G29" i="7"/>
  <c r="F29" i="7"/>
  <c r="D29" i="7"/>
  <c r="G28" i="7"/>
  <c r="F28" i="7"/>
  <c r="D28" i="7"/>
  <c r="G27" i="7"/>
  <c r="F27" i="7"/>
  <c r="D27" i="7"/>
  <c r="G26" i="7"/>
  <c r="F26" i="7"/>
  <c r="D26" i="7"/>
  <c r="G25" i="7"/>
  <c r="F25" i="7"/>
  <c r="D25" i="7"/>
  <c r="G24" i="7"/>
  <c r="F24" i="7"/>
  <c r="D24" i="7"/>
  <c r="G23" i="7"/>
  <c r="F23" i="7"/>
  <c r="D23" i="7"/>
  <c r="G22" i="7"/>
  <c r="F22" i="7"/>
  <c r="D22" i="7"/>
  <c r="G21" i="7"/>
  <c r="F21" i="7"/>
  <c r="D21" i="7"/>
  <c r="G20" i="7"/>
  <c r="F20" i="7"/>
  <c r="D20" i="7"/>
  <c r="G19" i="7"/>
  <c r="F19" i="7"/>
  <c r="D19" i="7"/>
  <c r="G18" i="7"/>
  <c r="F18" i="7"/>
  <c r="D18" i="7"/>
  <c r="G17" i="7"/>
  <c r="F17" i="7"/>
  <c r="D17" i="7"/>
  <c r="G16" i="7"/>
  <c r="F16" i="7"/>
  <c r="D16" i="7"/>
  <c r="G15" i="7"/>
  <c r="F15" i="7"/>
  <c r="D15" i="7"/>
  <c r="G14" i="7"/>
  <c r="F14" i="7"/>
  <c r="D14" i="7"/>
  <c r="G13" i="7"/>
  <c r="F13" i="7"/>
  <c r="D13" i="7"/>
  <c r="G12" i="7"/>
  <c r="F12" i="7"/>
  <c r="D12" i="7"/>
  <c r="G11" i="7"/>
  <c r="F11" i="7"/>
  <c r="D11" i="7"/>
  <c r="G10" i="7"/>
  <c r="F10" i="7"/>
  <c r="D10" i="7"/>
  <c r="G9" i="7"/>
  <c r="F9" i="7"/>
  <c r="D9" i="7"/>
  <c r="G8" i="7"/>
  <c r="F8" i="7"/>
  <c r="D8" i="7"/>
  <c r="G7" i="7"/>
  <c r="F7" i="7"/>
  <c r="D7" i="7"/>
  <c r="G6" i="7"/>
  <c r="F6" i="7"/>
  <c r="D6" i="7"/>
  <c r="G5" i="7"/>
  <c r="F5" i="7"/>
  <c r="D5" i="7"/>
  <c r="G4" i="7"/>
  <c r="F4" i="7"/>
  <c r="D4" i="7"/>
  <c r="G3" i="7"/>
  <c r="F3" i="7"/>
  <c r="D3" i="7"/>
  <c r="G2" i="7"/>
  <c r="F2" i="7"/>
  <c r="D2" i="7"/>
  <c r="C13" i="8" l="1"/>
  <c r="C14" i="8"/>
  <c r="C15" i="8"/>
  <c r="C16" i="8"/>
  <c r="C12" i="8"/>
  <c r="C22" i="8"/>
  <c r="C23" i="8"/>
  <c r="C24" i="8"/>
  <c r="C25" i="8"/>
  <c r="C26" i="8"/>
  <c r="C21" i="8"/>
  <c r="B14" i="8"/>
  <c r="B15" i="8"/>
  <c r="B16" i="8"/>
  <c r="D16" i="8" s="1"/>
  <c r="E16" i="8" s="1"/>
  <c r="B12" i="8"/>
  <c r="D12" i="8" s="1"/>
  <c r="E12" i="8" s="1"/>
  <c r="B13" i="8"/>
  <c r="D13" i="8" s="1"/>
  <c r="E13" i="8" s="1"/>
  <c r="B21" i="8"/>
  <c r="B22" i="8"/>
  <c r="B23" i="8"/>
  <c r="B24" i="8"/>
  <c r="B25" i="8"/>
  <c r="B26" i="8"/>
  <c r="B6" i="8"/>
  <c r="D15" i="8" l="1"/>
  <c r="E15" i="8" s="1"/>
  <c r="D14" i="8"/>
  <c r="E14" i="8" s="1"/>
  <c r="D22" i="8"/>
  <c r="E22" i="8" s="1"/>
  <c r="D26" i="8"/>
  <c r="E26" i="8" s="1"/>
  <c r="D24" i="8"/>
  <c r="E24" i="8" s="1"/>
  <c r="D25" i="8"/>
  <c r="E25" i="8" s="1"/>
  <c r="D23" i="8"/>
  <c r="E23" i="8" s="1"/>
  <c r="D21" i="8"/>
  <c r="E21" i="8" s="1"/>
</calcChain>
</file>

<file path=xl/sharedStrings.xml><?xml version="1.0" encoding="utf-8"?>
<sst xmlns="http://schemas.openxmlformats.org/spreadsheetml/2006/main" count="4101" uniqueCount="164">
  <si>
    <t>DeptID</t>
  </si>
  <si>
    <t>D01</t>
  </si>
  <si>
    <t>D02</t>
  </si>
  <si>
    <t>D03</t>
  </si>
  <si>
    <t>D04</t>
  </si>
  <si>
    <t>D05</t>
  </si>
  <si>
    <t>GLAccountID</t>
  </si>
  <si>
    <t>5200</t>
  </si>
  <si>
    <t>5300</t>
  </si>
  <si>
    <t>5400</t>
  </si>
  <si>
    <t>5500</t>
  </si>
  <si>
    <t>5600</t>
  </si>
  <si>
    <t>5700</t>
  </si>
  <si>
    <t>Department</t>
  </si>
  <si>
    <t>CostCenter</t>
  </si>
  <si>
    <t>BusinessUnit</t>
  </si>
  <si>
    <t>Branch Operations</t>
  </si>
  <si>
    <t>100</t>
  </si>
  <si>
    <t>Retail Ops</t>
  </si>
  <si>
    <t>Lending</t>
  </si>
  <si>
    <t>200</t>
  </si>
  <si>
    <t>Lending Ops</t>
  </si>
  <si>
    <t>Information Technology</t>
  </si>
  <si>
    <t>300</t>
  </si>
  <si>
    <t>IT</t>
  </si>
  <si>
    <t>Marketing</t>
  </si>
  <si>
    <t>400</t>
  </si>
  <si>
    <t>Human Resources</t>
  </si>
  <si>
    <t>500</t>
  </si>
  <si>
    <t>HR</t>
  </si>
  <si>
    <t>AccountName</t>
  </si>
  <si>
    <t>Category</t>
  </si>
  <si>
    <t>DriverType</t>
  </si>
  <si>
    <t>5000</t>
  </si>
  <si>
    <t>Salaries</t>
  </si>
  <si>
    <t>Personnel</t>
  </si>
  <si>
    <t>Salary</t>
  </si>
  <si>
    <t>5100</t>
  </si>
  <si>
    <t>Benefits</t>
  </si>
  <si>
    <t>Occupancy &amp; Facilities</t>
  </si>
  <si>
    <t>Facilities</t>
  </si>
  <si>
    <t>IT Software &amp; Subscriptions</t>
  </si>
  <si>
    <t>VendorInflation</t>
  </si>
  <si>
    <t>Marketing &amp; Advertising</t>
  </si>
  <si>
    <t>Seasonal</t>
  </si>
  <si>
    <t>Professional Services</t>
  </si>
  <si>
    <t>Office Supplies</t>
  </si>
  <si>
    <t>Other OPEX</t>
  </si>
  <si>
    <t>Training &amp; Development</t>
  </si>
  <si>
    <t>MonthStart</t>
  </si>
  <si>
    <t>MonthLabel</t>
  </si>
  <si>
    <t>MonthNum</t>
  </si>
  <si>
    <t>FiscalYear</t>
  </si>
  <si>
    <t>Notes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</si>
  <si>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</si>
  <si>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</si>
  <si>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</si>
  <si>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</si>
  <si>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</si>
  <si>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</si>
  <si>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</si>
  <si>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</si>
  <si>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</si>
  <si>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</si>
  <si>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</si>
  <si>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</si>
  <si>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Actual</t>
  </si>
  <si>
    <t>DeptName</t>
  </si>
  <si>
    <t>Version</t>
  </si>
  <si>
    <t>Amount</t>
  </si>
  <si>
    <t>Budget</t>
  </si>
  <si>
    <t>Key KPIs (FY2025 OPEX)</t>
  </si>
  <si>
    <t>Model Controls</t>
  </si>
  <si>
    <t>Total Budget OPEX</t>
  </si>
  <si>
    <t>Total Actual OPEX</t>
  </si>
  <si>
    <t>Last Closed Month</t>
  </si>
  <si>
    <t>Actual vs Budget ($)</t>
  </si>
  <si>
    <t>Actual vs Budget (%)</t>
  </si>
  <si>
    <t>Department roll-up (use as quick drill-down; PivotTable recommended for deeper analysis)</t>
  </si>
  <si>
    <t>Var $ (Act-Bud)</t>
  </si>
  <si>
    <t>Var % (Act-Bud)</t>
  </si>
  <si>
    <t>Category roll-up (shows drivers and where to investigate)</t>
  </si>
  <si>
    <t>Goal</t>
  </si>
  <si>
    <t>PivotTable Instructions</t>
  </si>
  <si>
    <t>Dashboard Summary (Scope: budget-to-actual tracking + variance reporting [no forecasting])</t>
  </si>
  <si>
    <t>As-of Month (last closed month)</t>
  </si>
  <si>
    <t>Variance flag threshold (%)</t>
  </si>
  <si>
    <t>Is_Closed_Month</t>
  </si>
  <si>
    <t>Row Labels</t>
  </si>
  <si>
    <t>Sum of Amount</t>
  </si>
  <si>
    <t>TRUE</t>
  </si>
  <si>
    <t>KPI Totals (Closed Months)</t>
  </si>
  <si>
    <t>Column Labels</t>
  </si>
  <si>
    <t>Department Roll-Up</t>
  </si>
  <si>
    <t>Category Roll-Up</t>
  </si>
  <si>
    <t>Monthly Trend</t>
  </si>
  <si>
    <r>
      <rPr>
        <b/>
        <sz val="11"/>
        <color theme="1"/>
        <rFont val="Calibri"/>
        <family val="2"/>
        <scheme val="minor"/>
      </rPr>
      <t>Reference table.</t>
    </r>
    <r>
      <rPr>
        <sz val="11"/>
        <color theme="1"/>
        <rFont val="Calibri"/>
        <family val="2"/>
        <scheme val="minor"/>
      </rPr>
      <t xml:space="preserve"> Not directly used in project dashboards.</t>
    </r>
  </si>
  <si>
    <r>
      <rPr>
        <b/>
        <sz val="11"/>
        <color theme="1"/>
        <rFont val="Calibri"/>
        <family val="2"/>
        <scheme val="minor"/>
      </rPr>
      <t>IMPORTANT:</t>
    </r>
    <r>
      <rPr>
        <sz val="11"/>
        <color theme="1"/>
        <rFont val="Calibri"/>
        <family val="2"/>
        <scheme val="minor"/>
      </rPr>
      <t xml:space="preserve"> All PivotTables must be filtered to `Is_Closed_Month = TRUE`. This ensures results reflect finalized (closed) accounting periods and mirrors standard month-end financial reporting practices.</t>
    </r>
  </si>
  <si>
    <t>Pivot #1: KPI Totals (Closed Months)</t>
  </si>
  <si>
    <t>Create PivotTables from `tblFactFinance` to support budget-to-actual variance analysis of OPEX by Department, Catergory, and Month, using closed-month only. All PivotTable in this workbook are designed to feed the Dashboard_Summary and support analyst drill-down month-end review.</t>
  </si>
  <si>
    <r>
      <rPr>
        <b/>
        <sz val="11"/>
        <rFont val="Calibri"/>
        <family val="2"/>
      </rPr>
      <t>Purpose:</t>
    </r>
    <r>
      <rPr>
        <sz val="11"/>
        <rFont val="Calibri"/>
        <family val="2"/>
      </rPr>
      <t xml:space="preserve"> Provide total Actual vs Budget OPEX through the last closed month for dashboard KPIs.</t>
    </r>
  </si>
  <si>
    <t>Build steps:</t>
  </si>
  <si>
    <t>1) Click any cell inside `tblFactFinance`.</t>
  </si>
  <si>
    <t>2) Insert → PivotTable → From Table/Range.</t>
  </si>
  <si>
    <r>
      <t xml:space="preserve">3) Place the PivotTAble in the </t>
    </r>
    <r>
      <rPr>
        <b/>
        <sz val="11"/>
        <color theme="1"/>
        <rFont val="Calibri"/>
        <family val="2"/>
        <scheme val="minor"/>
      </rPr>
      <t>Pivots</t>
    </r>
    <r>
      <rPr>
        <sz val="11"/>
        <color theme="1"/>
        <rFont val="Calibri"/>
        <family val="2"/>
        <scheme val="minor"/>
      </rPr>
      <t xml:space="preserve"> worksheet.</t>
    </r>
  </si>
  <si>
    <t>4) Configure fields:</t>
  </si>
  <si>
    <t xml:space="preserve">   - Rows: `Version`</t>
  </si>
  <si>
    <t xml:space="preserve">   - Values: Sum of `Amount`</t>
  </si>
  <si>
    <t xml:space="preserve">   - Filters: `Is_Closed_Month`</t>
  </si>
  <si>
    <t>6) Turn "Grand Totals" OFF (Budget + Actual is not a meaningful KPI).</t>
  </si>
  <si>
    <t>Pivot #2: Department Roll-Up</t>
  </si>
  <si>
    <r>
      <rPr>
        <b/>
        <sz val="11"/>
        <rFont val="Calibri"/>
        <family val="2"/>
      </rPr>
      <t>Purpose:</t>
    </r>
    <r>
      <rPr>
        <sz val="11"/>
        <rFont val="Calibri"/>
        <family val="2"/>
      </rPr>
      <t xml:space="preserve"> Identify which departments are driving budget variances.</t>
    </r>
  </si>
  <si>
    <t>1) Insert a new PivotTable from `tblFactFinance`.</t>
  </si>
  <si>
    <r>
      <t xml:space="preserve">2) Place it below the KPI pivot on the </t>
    </r>
    <r>
      <rPr>
        <b/>
        <sz val="11"/>
        <color theme="1"/>
        <rFont val="Calibri"/>
        <family val="2"/>
        <scheme val="minor"/>
      </rPr>
      <t>Pivots</t>
    </r>
    <r>
      <rPr>
        <sz val="11"/>
        <color theme="1"/>
        <rFont val="Calibri"/>
        <family val="2"/>
        <scheme val="minor"/>
      </rPr>
      <t xml:space="preserve"> sheet.</t>
    </r>
  </si>
  <si>
    <t>3) Configure fields:</t>
  </si>
  <si>
    <t xml:space="preserve">   - Rows: `DeptName`</t>
  </si>
  <si>
    <t xml:space="preserve">   - Columns: `Version`</t>
  </si>
  <si>
    <t>5) Set filter: `Is_Closed_Month` = TRUE</t>
  </si>
  <si>
    <t>4) Set filter: `Is_Closed_Month` = TRUE</t>
  </si>
  <si>
    <t>6) Turn "Grand Totals" OFF</t>
  </si>
  <si>
    <r>
      <rPr>
        <b/>
        <sz val="11"/>
        <rFont val="Calibri"/>
        <family val="2"/>
      </rPr>
      <t>Purpose:</t>
    </r>
    <r>
      <rPr>
        <sz val="11"/>
        <rFont val="Calibri"/>
        <family val="2"/>
      </rPr>
      <t xml:space="preserve"> Analyze OPEX drivers and identify categories requiring investigation.</t>
    </r>
  </si>
  <si>
    <t>5) Turn "Grand Totals" OFF</t>
  </si>
  <si>
    <t>Pivot #3: Category Roll-Up (Expense Drivers)</t>
  </si>
  <si>
    <r>
      <t xml:space="preserve">2) Place it below the Department pivot on the </t>
    </r>
    <r>
      <rPr>
        <b/>
        <sz val="11"/>
        <color theme="1"/>
        <rFont val="Calibri"/>
        <family val="2"/>
        <scheme val="minor"/>
      </rPr>
      <t>Pivots</t>
    </r>
    <r>
      <rPr>
        <sz val="11"/>
        <color theme="1"/>
        <rFont val="Calibri"/>
        <family val="2"/>
        <scheme val="minor"/>
      </rPr>
      <t xml:space="preserve"> sheet.</t>
    </r>
  </si>
  <si>
    <t xml:space="preserve">   - Rows: `Category`</t>
  </si>
  <si>
    <t>Optional Pivot: Monthly Trend</t>
  </si>
  <si>
    <r>
      <rPr>
        <b/>
        <sz val="11"/>
        <rFont val="Calibri"/>
        <family val="2"/>
      </rPr>
      <t>Purpose:</t>
    </r>
    <r>
      <rPr>
        <sz val="11"/>
        <rFont val="Calibri"/>
        <family val="2"/>
      </rPr>
      <t xml:space="preserve"> Provide a closed-month time series for Actual vs Budget (used for trend review or charts).</t>
    </r>
  </si>
  <si>
    <t>1) Configure fields:</t>
  </si>
  <si>
    <t>5) Turn "Grand Totals" OFF/ON depending on use.</t>
  </si>
  <si>
    <t xml:space="preserve"> - PivotTables are intentioanlly minimally formatted and serve as an analyst back-end.</t>
  </si>
  <si>
    <t xml:space="preserve"> - Dashboard calculations (variance $, variance %) are handled in `Dashboard_Summary`.</t>
  </si>
  <si>
    <t xml:space="preserve"> - All data in this workbook is fully simulated.</t>
  </si>
  <si>
    <t>Budget vs Actual Tracker (Excel)</t>
  </si>
  <si>
    <t>Purpose</t>
  </si>
  <si>
    <t>Quick Start</t>
  </si>
  <si>
    <t>Sheets (what they do)</t>
  </si>
  <si>
    <t>Fact_Finance_Long</t>
  </si>
  <si>
    <t>Dashboard_Summary</t>
  </si>
  <si>
    <t>Pivot_Instructions</t>
  </si>
  <si>
    <t>All data is simulated.</t>
  </si>
  <si>
    <r>
      <t xml:space="preserve">The focus is on </t>
    </r>
    <r>
      <rPr>
        <b/>
        <sz val="11"/>
        <color theme="1"/>
        <rFont val="Calibri"/>
        <family val="2"/>
        <scheme val="minor"/>
      </rPr>
      <t>monitoring performance against plan</t>
    </r>
    <r>
      <rPr>
        <sz val="11"/>
        <color theme="1"/>
        <rFont val="Calibri"/>
        <family val="2"/>
        <scheme val="minor"/>
      </rPr>
      <t xml:space="preserve"> and enabling quick investigation of where and why variances occur, rather than forecasting or strategic planning.</t>
    </r>
  </si>
  <si>
    <r>
      <t xml:space="preserve">1) Open </t>
    </r>
    <r>
      <rPr>
        <b/>
        <sz val="11"/>
        <color theme="1"/>
        <rFont val="Calibri"/>
        <family val="2"/>
        <scheme val="minor"/>
      </rPr>
      <t>Fact_Finance_Long</t>
    </r>
    <r>
      <rPr>
        <sz val="11"/>
        <color theme="1"/>
        <rFont val="Calibri"/>
        <family val="2"/>
        <scheme val="minor"/>
      </rPr>
      <t xml:space="preserve"> to review the clean, pivot-ready data structure.</t>
    </r>
  </si>
  <si>
    <r>
      <t xml:space="preserve">2) Go to </t>
    </r>
    <r>
      <rPr>
        <b/>
        <sz val="11"/>
        <color theme="1"/>
        <rFont val="Calibri"/>
        <family val="2"/>
        <scheme val="minor"/>
      </rPr>
      <t>Pivots</t>
    </r>
    <r>
      <rPr>
        <sz val="11"/>
        <color theme="1"/>
        <rFont val="Calibri"/>
        <family val="2"/>
        <scheme val="minor"/>
      </rPr>
      <t xml:space="preserve"> to view budget vs actual rollups by department, category, and month.</t>
    </r>
  </si>
  <si>
    <r>
      <t xml:space="preserve">3) Review </t>
    </r>
    <r>
      <rPr>
        <b/>
        <sz val="11"/>
        <color theme="1"/>
        <rFont val="Calibri"/>
        <family val="2"/>
        <scheme val="minor"/>
      </rPr>
      <t>Dashboard_Summary</t>
    </r>
    <r>
      <rPr>
        <sz val="11"/>
        <color theme="1"/>
        <rFont val="Calibri"/>
        <family val="2"/>
        <scheme val="minor"/>
      </rPr>
      <t xml:space="preserve"> for high-level KPIs and variance indicators.</t>
    </r>
  </si>
  <si>
    <t>4) Use Pivot filters (e.g., Version, Closed Month) to drill into results.</t>
  </si>
  <si>
    <t>Clean, long-format fact table containing budget and actual OPEX data, structured for PivotTables and Power BI-style analysis.</t>
  </si>
  <si>
    <t>Department dimension used for grouping and roll-ups (included for data-model realism).</t>
  </si>
  <si>
    <t>GL account and category mapping to support category-level variance analysis.</t>
  </si>
  <si>
    <t>Calendar dimension supporting month-level aggregation and closed-month logic.</t>
  </si>
  <si>
    <t>Pivots</t>
  </si>
  <si>
    <t>PivotTables summarizing budget vs actual performance by department, category, and month.</t>
  </si>
  <si>
    <t>High-level KPI view with variance calculations and conditional formatting to highlight areas requiring investigation.</t>
  </si>
  <si>
    <t>Step-by-step guide documenting how the PivotTables were built from the fact table.</t>
  </si>
  <si>
    <t>Key Excel Skills Demonstrated</t>
  </si>
  <si>
    <t xml:space="preserve"> - PivotTables for financial roll-ups</t>
  </si>
  <si>
    <t xml:space="preserve"> - Budget-to-actual variance logic</t>
  </si>
  <si>
    <t xml:space="preserve"> - Conditional formatting for variance flags</t>
  </si>
  <si>
    <t xml:space="preserve"> - Clean data modeling principles (fact + dimensions)</t>
  </si>
  <si>
    <t>Ref_Department</t>
  </si>
  <si>
    <t>Ref_GLAccount</t>
  </si>
  <si>
    <t>Ref_Date</t>
  </si>
  <si>
    <t>Inputs</t>
  </si>
  <si>
    <r>
      <t xml:space="preserve">Centralized reporting controls (e.g., last closed month) used to standardize budget-to-actual views across pivots and summary outputs. </t>
    </r>
    <r>
      <rPr>
        <i/>
        <sz val="11"/>
        <color theme="1"/>
        <rFont val="Calibri"/>
        <family val="2"/>
        <scheme val="minor"/>
      </rPr>
      <t>No forecasting logic is applied.</t>
    </r>
  </si>
  <si>
    <r>
      <t>This mini project demonstrates</t>
    </r>
    <r>
      <rPr>
        <b/>
        <sz val="11"/>
        <color theme="1"/>
        <rFont val="Calibri"/>
        <family val="2"/>
        <scheme val="minor"/>
      </rPr>
      <t xml:space="preserve"> core Excel skills used in budget-to-actual tracking and variance analysis</t>
    </r>
    <r>
      <rPr>
        <sz val="11"/>
        <color theme="1"/>
        <rFont val="Calibri"/>
        <family val="2"/>
        <scheme val="minor"/>
      </rPr>
      <t>, including structured tables, PivotTables, conditional formatting, and clean separation between data and reporting.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</si>
</sst>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\$#,##0"/>
    <numFmt numFmtId="166" formatCode="\$#,##0;[Red]\(\$#,##0\)"/>
    <numFmt numFmtId="167" formatCode="[$-409]mmm\-yy;@"/>
  </numFmts>
  <fonts count="9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0" fillId="0" borderId="1" xfId="0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0" fontId="0" fillId="0" borderId="1" xfId="0" applyBorder="1" applyAlignment="1">
      <alignment horizontal="left" vertical="center"/>
    </xf>
    <xf numFmtId="17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right" vertical="center" wrapText="1"/>
    </xf>
    <xf numFmtId="14" fontId="0" fillId="3" borderId="1" xfId="0" applyNumberFormat="1" applyFill="1" applyBorder="1" applyAlignment="1">
      <alignment horizontal="left" vertical="center" wrapText="1"/>
    </xf>
    <xf numFmtId="0" fontId="5" fillId="4" borderId="0" xfId="0" applyFont="1" applyFill="1"/>
    <xf numFmtId="167" fontId="0" fillId="5" borderId="0" xfId="0" applyNumberFormat="1" applyFill="1"/>
    <xf numFmtId="167" fontId="3" fillId="2" borderId="1" xfId="0" applyNumberFormat="1" applyFont="1" applyFill="1" applyBorder="1" applyAlignment="1">
      <alignment horizontal="center" vertical="center" wrapText="1"/>
    </xf>
    <xf numFmtId="167" fontId="0" fillId="0" borderId="1" xfId="0" applyNumberFormat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0" fillId="5" borderId="0" xfId="1" applyNumberFormat="1" applyFont="1" applyFill="1"/>
    <xf numFmtId="0" fontId="6" fillId="0" borderId="0" xfId="0" applyFont="1"/>
    <xf numFmtId="0" fontId="7" fillId="0" borderId="0" xfId="0" applyFont="1"/>
    <xf numFmtId="0" fontId="0" fillId="0" borderId="2" xfId="0" pivotButton="1" applyBorder="1"/>
    <xf numFmtId="0" fontId="0" fillId="0" borderId="2" xfId="0" applyBorder="1"/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0" fillId="0" borderId="3" xfId="0" applyBorder="1"/>
    <xf numFmtId="0" fontId="5" fillId="0" borderId="0" xfId="0" applyFont="1"/>
    <xf numFmtId="0" fontId="0" fillId="0" borderId="4" xfId="0" applyBorder="1"/>
    <xf numFmtId="0" fontId="0" fillId="0" borderId="5" xfId="0" applyBorder="1"/>
  </cellXfs>
  <cellStyles count="2">
    <cellStyle name="Normal" xfId="0" builtinId="0"/>
    <cellStyle name="Percent" xfId="1" builtinId="5"/>
  </cellStyles>
  <dxfs count="46"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border>
        <right style="thin">
          <color indexed="64"/>
        </right>
        <vertical style="thin">
          <color indexed="64"/>
        </vertical>
      </border>
    </dxf>
    <dxf>
      <border>
        <right style="thin">
          <color indexed="64"/>
        </right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right style="thin">
          <color rgb="FFA0A0A0"/>
        </right>
      </border>
    </dxf>
    <dxf>
      <border outline="0">
        <left style="thin">
          <color rgb="FFA0A0A0"/>
        </left>
      </border>
    </dxf>
    <dxf>
      <numFmt numFmtId="30" formatCode="@"/>
      <border outline="0">
        <left style="thin">
          <color rgb="FFA0A0A0"/>
        </left>
      </border>
    </dxf>
    <dxf>
      <numFmt numFmtId="167" formatCode="[$-409]mmm\-yy;@"/>
      <border outline="0">
        <right style="thin">
          <color rgb="FFA0A0A0"/>
        </right>
      </border>
    </dxf>
  </dxfs>
  <tableStyles count="0" defaultTableStyle="TableStyleMedium9" defaultPivotStyle="PivotStyleLight16"/>
  <colors>
    <mruColors>
      <color rgb="FF00FF00"/>
      <color rgb="FFFFFFFF"/>
      <color rgb="FF33CC33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ny Kenton" refreshedDate="46031.679275347225" createdVersion="8" refreshedVersion="8" minRefreshableVersion="3" recordCount="960" xr:uid="{EF975A51-4F6C-4B49-B42E-427B5DB25757}">
  <cacheSource type="worksheet">
    <worksheetSource name="tblFactFinance"/>
  </cacheSource>
  <cacheFields count="10">
    <cacheField name="MonthStart" numFmtId="167">
      <sharedItems containsSemiMixedTypes="0" containsNonDate="0" containsDate="1" containsString="0" minDate="2025-01-01T00:00:00" maxDate="2025-12-02T00:00:00"/>
    </cacheField>
    <cacheField name="MonthLabel" numFmtId="49">
      <sharedItems count="12">
        <s v="Jan-2025"/>
        <s v="Feb-2025"/>
        <s v="Mar-2025"/>
        <s v="Apr-2025"/>
        <s v="May-2025"/>
        <s v="Jun-2025"/>
        <s v="Jul-2025"/>
        <s v="Aug-2025"/>
        <s v="Sep-2025"/>
        <s v="Oct-2025"/>
        <s v="Nov-2025"/>
        <s v="Dec-2025"/>
      </sharedItems>
    </cacheField>
    <cacheField name="DeptID" numFmtId="0">
      <sharedItems/>
    </cacheField>
    <cacheField name="DeptName" numFmtId="0">
      <sharedItems count="5">
        <s v="Branch Operations"/>
        <s v="Lending"/>
        <s v="Information Technology"/>
        <s v="Marketing"/>
        <s v="Human Resources"/>
      </sharedItems>
    </cacheField>
    <cacheField name="GLAccountID" numFmtId="0">
      <sharedItems/>
    </cacheField>
    <cacheField name="AccountName" numFmtId="0">
      <sharedItems/>
    </cacheField>
    <cacheField name="Category" numFmtId="0">
      <sharedItems count="6">
        <s v="Personnel"/>
        <s v="Facilities"/>
        <s v="IT"/>
        <s v="Marketing"/>
        <s v="Professional Services"/>
        <s v="Other OPEX"/>
      </sharedItems>
    </cacheField>
    <cacheField name="Version" numFmtId="0">
      <sharedItems count="2">
        <s v="Actual"/>
        <s v="Budget"/>
      </sharedItems>
    </cacheField>
    <cacheField name="Amount" numFmtId="165">
      <sharedItems containsSemiMixedTypes="0" containsString="0" containsNumber="1" minValue="580.79" maxValue="218853.74"/>
    </cacheField>
    <cacheField name="Is_Closed_Month" numFmtId="0">
      <sharedItems count="2">
        <b v="1"/>
        <b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d v="2025-01-01T00:00:00"/>
    <x v="0"/>
    <s v="D01"/>
    <x v="0"/>
    <s v="5000"/>
    <s v="Salaries"/>
    <x v="0"/>
    <x v="0"/>
    <n v="199692.38"/>
    <x v="0"/>
  </r>
  <r>
    <d v="2025-01-01T00:00:00"/>
    <x v="0"/>
    <s v="D01"/>
    <x v="0"/>
    <s v="5000"/>
    <s v="Salaries"/>
    <x v="0"/>
    <x v="1"/>
    <n v="200850"/>
    <x v="0"/>
  </r>
  <r>
    <d v="2025-01-01T00:00:00"/>
    <x v="0"/>
    <s v="D01"/>
    <x v="0"/>
    <s v="5100"/>
    <s v="Benefits"/>
    <x v="0"/>
    <x v="0"/>
    <n v="43881.4"/>
    <x v="0"/>
  </r>
  <r>
    <d v="2025-01-01T00:00:00"/>
    <x v="0"/>
    <s v="D01"/>
    <x v="0"/>
    <s v="5100"/>
    <s v="Benefits"/>
    <x v="0"/>
    <x v="1"/>
    <n v="44187"/>
    <x v="0"/>
  </r>
  <r>
    <d v="2025-01-01T00:00:00"/>
    <x v="0"/>
    <s v="D01"/>
    <x v="0"/>
    <s v="5200"/>
    <s v="Occupancy &amp; Facilities"/>
    <x v="1"/>
    <x v="0"/>
    <n v="40100.65"/>
    <x v="0"/>
  </r>
  <r>
    <d v="2025-01-01T00:00:00"/>
    <x v="0"/>
    <s v="D01"/>
    <x v="0"/>
    <s v="5200"/>
    <s v="Occupancy &amp; Facilities"/>
    <x v="1"/>
    <x v="1"/>
    <n v="38000"/>
    <x v="0"/>
  </r>
  <r>
    <d v="2025-01-01T00:00:00"/>
    <x v="0"/>
    <s v="D01"/>
    <x v="0"/>
    <s v="5300"/>
    <s v="IT Software &amp; Subscriptions"/>
    <x v="2"/>
    <x v="0"/>
    <n v="12830.43"/>
    <x v="0"/>
  </r>
  <r>
    <d v="2025-01-01T00:00:00"/>
    <x v="0"/>
    <s v="D01"/>
    <x v="0"/>
    <s v="5300"/>
    <s v="IT Software &amp; Subscriptions"/>
    <x v="2"/>
    <x v="1"/>
    <n v="12480"/>
    <x v="0"/>
  </r>
  <r>
    <d v="2025-01-01T00:00:00"/>
    <x v="0"/>
    <s v="D01"/>
    <x v="0"/>
    <s v="5400"/>
    <s v="Marketing &amp; Advertising"/>
    <x v="3"/>
    <x v="0"/>
    <n v="4138.7700000000004"/>
    <x v="0"/>
  </r>
  <r>
    <d v="2025-01-01T00:00:00"/>
    <x v="0"/>
    <s v="D01"/>
    <x v="0"/>
    <s v="5400"/>
    <s v="Marketing &amp; Advertising"/>
    <x v="3"/>
    <x v="1"/>
    <n v="4160"/>
    <x v="0"/>
  </r>
  <r>
    <d v="2025-01-01T00:00:00"/>
    <x v="0"/>
    <s v="D01"/>
    <x v="0"/>
    <s v="5500"/>
    <s v="Professional Services"/>
    <x v="4"/>
    <x v="0"/>
    <n v="4888.55"/>
    <x v="0"/>
  </r>
  <r>
    <d v="2025-01-01T00:00:00"/>
    <x v="0"/>
    <s v="D01"/>
    <x v="0"/>
    <s v="5500"/>
    <s v="Professional Services"/>
    <x v="4"/>
    <x v="1"/>
    <n v="5200"/>
    <x v="0"/>
  </r>
  <r>
    <d v="2025-01-01T00:00:00"/>
    <x v="0"/>
    <s v="D01"/>
    <x v="0"/>
    <s v="5600"/>
    <s v="Office Supplies"/>
    <x v="5"/>
    <x v="0"/>
    <n v="1580.74"/>
    <x v="0"/>
  </r>
  <r>
    <d v="2025-01-01T00:00:00"/>
    <x v="0"/>
    <s v="D01"/>
    <x v="0"/>
    <s v="5600"/>
    <s v="Office Supplies"/>
    <x v="5"/>
    <x v="1"/>
    <n v="1560"/>
    <x v="0"/>
  </r>
  <r>
    <d v="2025-01-01T00:00:00"/>
    <x v="0"/>
    <s v="D01"/>
    <x v="0"/>
    <s v="5700"/>
    <s v="Training &amp; Development"/>
    <x v="5"/>
    <x v="0"/>
    <n v="1234.6500000000001"/>
    <x v="0"/>
  </r>
  <r>
    <d v="2025-01-01T00:00:00"/>
    <x v="0"/>
    <s v="D01"/>
    <x v="0"/>
    <s v="5700"/>
    <s v="Training &amp; Development"/>
    <x v="5"/>
    <x v="1"/>
    <n v="1248"/>
    <x v="0"/>
  </r>
  <r>
    <d v="2025-01-01T00:00:00"/>
    <x v="0"/>
    <s v="D02"/>
    <x v="1"/>
    <s v="5000"/>
    <s v="Salaries"/>
    <x v="0"/>
    <x v="0"/>
    <n v="171538.3"/>
    <x v="0"/>
  </r>
  <r>
    <d v="2025-01-01T00:00:00"/>
    <x v="0"/>
    <s v="D02"/>
    <x v="1"/>
    <s v="5000"/>
    <s v="Salaries"/>
    <x v="0"/>
    <x v="1"/>
    <n v="173040"/>
    <x v="0"/>
  </r>
  <r>
    <d v="2025-01-01T00:00:00"/>
    <x v="0"/>
    <s v="D02"/>
    <x v="1"/>
    <s v="5100"/>
    <s v="Benefits"/>
    <x v="0"/>
    <x v="0"/>
    <n v="38245.26"/>
    <x v="0"/>
  </r>
  <r>
    <d v="2025-01-01T00:00:00"/>
    <x v="0"/>
    <s v="D02"/>
    <x v="1"/>
    <s v="5100"/>
    <s v="Benefits"/>
    <x v="0"/>
    <x v="1"/>
    <n v="38068.800000000003"/>
    <x v="0"/>
  </r>
  <r>
    <d v="2025-01-01T00:00:00"/>
    <x v="0"/>
    <s v="D02"/>
    <x v="1"/>
    <s v="5200"/>
    <s v="Occupancy &amp; Facilities"/>
    <x v="1"/>
    <x v="0"/>
    <n v="17117.59"/>
    <x v="0"/>
  </r>
  <r>
    <d v="2025-01-01T00:00:00"/>
    <x v="0"/>
    <s v="D02"/>
    <x v="1"/>
    <s v="5200"/>
    <s v="Occupancy &amp; Facilities"/>
    <x v="1"/>
    <x v="1"/>
    <n v="16000"/>
    <x v="0"/>
  </r>
  <r>
    <d v="2025-01-01T00:00:00"/>
    <x v="0"/>
    <s v="D02"/>
    <x v="1"/>
    <s v="5300"/>
    <s v="IT Software &amp; Subscriptions"/>
    <x v="2"/>
    <x v="0"/>
    <n v="9795.64"/>
    <x v="0"/>
  </r>
  <r>
    <d v="2025-01-01T00:00:00"/>
    <x v="0"/>
    <s v="D02"/>
    <x v="1"/>
    <s v="5300"/>
    <s v="IT Software &amp; Subscriptions"/>
    <x v="2"/>
    <x v="1"/>
    <n v="9360"/>
    <x v="0"/>
  </r>
  <r>
    <d v="2025-01-01T00:00:00"/>
    <x v="0"/>
    <s v="D02"/>
    <x v="1"/>
    <s v="5400"/>
    <s v="Marketing &amp; Advertising"/>
    <x v="3"/>
    <x v="0"/>
    <n v="6403.9"/>
    <x v="0"/>
  </r>
  <r>
    <d v="2025-01-01T00:00:00"/>
    <x v="0"/>
    <s v="D02"/>
    <x v="1"/>
    <s v="5400"/>
    <s v="Marketing &amp; Advertising"/>
    <x v="3"/>
    <x v="1"/>
    <n v="6240"/>
    <x v="0"/>
  </r>
  <r>
    <d v="2025-01-01T00:00:00"/>
    <x v="0"/>
    <s v="D02"/>
    <x v="1"/>
    <s v="5500"/>
    <s v="Professional Services"/>
    <x v="4"/>
    <x v="0"/>
    <n v="8356.7800000000007"/>
    <x v="0"/>
  </r>
  <r>
    <d v="2025-01-01T00:00:00"/>
    <x v="0"/>
    <s v="D02"/>
    <x v="1"/>
    <s v="5500"/>
    <s v="Professional Services"/>
    <x v="4"/>
    <x v="1"/>
    <n v="8320"/>
    <x v="0"/>
  </r>
  <r>
    <d v="2025-01-01T00:00:00"/>
    <x v="0"/>
    <s v="D02"/>
    <x v="1"/>
    <s v="5600"/>
    <s v="Office Supplies"/>
    <x v="5"/>
    <x v="0"/>
    <n v="908.36"/>
    <x v="0"/>
  </r>
  <r>
    <d v="2025-01-01T00:00:00"/>
    <x v="0"/>
    <s v="D02"/>
    <x v="1"/>
    <s v="5600"/>
    <s v="Office Supplies"/>
    <x v="5"/>
    <x v="1"/>
    <n v="936"/>
    <x v="0"/>
  </r>
  <r>
    <d v="2025-01-01T00:00:00"/>
    <x v="0"/>
    <s v="D02"/>
    <x v="1"/>
    <s v="5700"/>
    <s v="Training &amp; Development"/>
    <x v="5"/>
    <x v="0"/>
    <n v="1396.91"/>
    <x v="0"/>
  </r>
  <r>
    <d v="2025-01-01T00:00:00"/>
    <x v="0"/>
    <s v="D02"/>
    <x v="1"/>
    <s v="5700"/>
    <s v="Training &amp; Development"/>
    <x v="5"/>
    <x v="1"/>
    <n v="1456"/>
    <x v="0"/>
  </r>
  <r>
    <d v="2025-01-01T00:00:00"/>
    <x v="0"/>
    <s v="D03"/>
    <x v="2"/>
    <s v="5000"/>
    <s v="Salaries"/>
    <x v="0"/>
    <x v="0"/>
    <n v="152901.95000000001"/>
    <x v="0"/>
  </r>
  <r>
    <d v="2025-01-01T00:00:00"/>
    <x v="0"/>
    <s v="D03"/>
    <x v="2"/>
    <s v="5000"/>
    <s v="Salaries"/>
    <x v="0"/>
    <x v="1"/>
    <n v="151410"/>
    <x v="0"/>
  </r>
  <r>
    <d v="2025-01-01T00:00:00"/>
    <x v="0"/>
    <s v="D03"/>
    <x v="2"/>
    <s v="5100"/>
    <s v="Benefits"/>
    <x v="0"/>
    <x v="0"/>
    <n v="35057.089999999997"/>
    <x v="0"/>
  </r>
  <r>
    <d v="2025-01-01T00:00:00"/>
    <x v="0"/>
    <s v="D03"/>
    <x v="2"/>
    <s v="5100"/>
    <s v="Benefits"/>
    <x v="0"/>
    <x v="1"/>
    <n v="33310.199999999997"/>
    <x v="0"/>
  </r>
  <r>
    <d v="2025-01-01T00:00:00"/>
    <x v="0"/>
    <s v="D03"/>
    <x v="2"/>
    <s v="5200"/>
    <s v="Occupancy &amp; Facilities"/>
    <x v="1"/>
    <x v="0"/>
    <n v="9555.9"/>
    <x v="0"/>
  </r>
  <r>
    <d v="2025-01-01T00:00:00"/>
    <x v="0"/>
    <s v="D03"/>
    <x v="2"/>
    <s v="5200"/>
    <s v="Occupancy &amp; Facilities"/>
    <x v="1"/>
    <x v="1"/>
    <n v="9000"/>
    <x v="0"/>
  </r>
  <r>
    <d v="2025-01-01T00:00:00"/>
    <x v="0"/>
    <s v="D03"/>
    <x v="2"/>
    <s v="5300"/>
    <s v="IT Software &amp; Subscriptions"/>
    <x v="2"/>
    <x v="0"/>
    <n v="43494.23"/>
    <x v="0"/>
  </r>
  <r>
    <d v="2025-01-01T00:00:00"/>
    <x v="0"/>
    <s v="D03"/>
    <x v="2"/>
    <s v="5300"/>
    <s v="IT Software &amp; Subscriptions"/>
    <x v="2"/>
    <x v="1"/>
    <n v="43680"/>
    <x v="0"/>
  </r>
  <r>
    <d v="2025-01-01T00:00:00"/>
    <x v="0"/>
    <s v="D03"/>
    <x v="2"/>
    <s v="5400"/>
    <s v="Marketing &amp; Advertising"/>
    <x v="3"/>
    <x v="0"/>
    <n v="1593.18"/>
    <x v="0"/>
  </r>
  <r>
    <d v="2025-01-01T00:00:00"/>
    <x v="0"/>
    <s v="D03"/>
    <x v="2"/>
    <s v="5400"/>
    <s v="Marketing &amp; Advertising"/>
    <x v="3"/>
    <x v="1"/>
    <n v="1560"/>
    <x v="0"/>
  </r>
  <r>
    <d v="2025-01-01T00:00:00"/>
    <x v="0"/>
    <s v="D03"/>
    <x v="2"/>
    <s v="5500"/>
    <s v="Professional Services"/>
    <x v="4"/>
    <x v="0"/>
    <n v="11754.39"/>
    <x v="0"/>
  </r>
  <r>
    <d v="2025-01-01T00:00:00"/>
    <x v="0"/>
    <s v="D03"/>
    <x v="2"/>
    <s v="5500"/>
    <s v="Professional Services"/>
    <x v="4"/>
    <x v="1"/>
    <n v="12480"/>
    <x v="0"/>
  </r>
  <r>
    <d v="2025-01-01T00:00:00"/>
    <x v="0"/>
    <s v="D03"/>
    <x v="2"/>
    <s v="5600"/>
    <s v="Office Supplies"/>
    <x v="5"/>
    <x v="0"/>
    <n v="821.61"/>
    <x v="0"/>
  </r>
  <r>
    <d v="2025-01-01T00:00:00"/>
    <x v="0"/>
    <s v="D03"/>
    <x v="2"/>
    <s v="5600"/>
    <s v="Office Supplies"/>
    <x v="5"/>
    <x v="1"/>
    <n v="832"/>
    <x v="0"/>
  </r>
  <r>
    <d v="2025-01-01T00:00:00"/>
    <x v="0"/>
    <s v="D03"/>
    <x v="2"/>
    <s v="5700"/>
    <s v="Training &amp; Development"/>
    <x v="5"/>
    <x v="0"/>
    <n v="1908.72"/>
    <x v="0"/>
  </r>
  <r>
    <d v="2025-01-01T00:00:00"/>
    <x v="0"/>
    <s v="D03"/>
    <x v="2"/>
    <s v="5700"/>
    <s v="Training &amp; Development"/>
    <x v="5"/>
    <x v="1"/>
    <n v="1872"/>
    <x v="0"/>
  </r>
  <r>
    <d v="2025-01-01T00:00:00"/>
    <x v="0"/>
    <s v="D04"/>
    <x v="3"/>
    <s v="5000"/>
    <s v="Salaries"/>
    <x v="0"/>
    <x v="0"/>
    <n v="66624.02"/>
    <x v="0"/>
  </r>
  <r>
    <d v="2025-01-01T00:00:00"/>
    <x v="0"/>
    <s v="D04"/>
    <x v="3"/>
    <s v="5000"/>
    <s v="Salaries"/>
    <x v="0"/>
    <x v="1"/>
    <n v="64375"/>
    <x v="0"/>
  </r>
  <r>
    <d v="2025-01-01T00:00:00"/>
    <x v="0"/>
    <s v="D04"/>
    <x v="3"/>
    <s v="5100"/>
    <s v="Benefits"/>
    <x v="0"/>
    <x v="0"/>
    <n v="14026.18"/>
    <x v="0"/>
  </r>
  <r>
    <d v="2025-01-01T00:00:00"/>
    <x v="0"/>
    <s v="D04"/>
    <x v="3"/>
    <s v="5100"/>
    <s v="Benefits"/>
    <x v="0"/>
    <x v="1"/>
    <n v="14162.5"/>
    <x v="0"/>
  </r>
  <r>
    <d v="2025-01-01T00:00:00"/>
    <x v="0"/>
    <s v="D04"/>
    <x v="3"/>
    <s v="5200"/>
    <s v="Occupancy &amp; Facilities"/>
    <x v="1"/>
    <x v="0"/>
    <n v="6455.81"/>
    <x v="0"/>
  </r>
  <r>
    <d v="2025-01-01T00:00:00"/>
    <x v="0"/>
    <s v="D04"/>
    <x v="3"/>
    <s v="5200"/>
    <s v="Occupancy &amp; Facilities"/>
    <x v="1"/>
    <x v="1"/>
    <n v="6000"/>
    <x v="0"/>
  </r>
  <r>
    <d v="2025-01-01T00:00:00"/>
    <x v="0"/>
    <s v="D04"/>
    <x v="3"/>
    <s v="5300"/>
    <s v="IT Software &amp; Subscriptions"/>
    <x v="2"/>
    <x v="0"/>
    <n v="7352.28"/>
    <x v="0"/>
  </r>
  <r>
    <d v="2025-01-01T00:00:00"/>
    <x v="0"/>
    <s v="D04"/>
    <x v="3"/>
    <s v="5300"/>
    <s v="IT Software &amp; Subscriptions"/>
    <x v="2"/>
    <x v="1"/>
    <n v="7280"/>
    <x v="0"/>
  </r>
  <r>
    <d v="2025-01-01T00:00:00"/>
    <x v="0"/>
    <s v="D04"/>
    <x v="3"/>
    <s v="5400"/>
    <s v="Marketing &amp; Advertising"/>
    <x v="3"/>
    <x v="0"/>
    <n v="30031.25"/>
    <x v="0"/>
  </r>
  <r>
    <d v="2025-01-01T00:00:00"/>
    <x v="0"/>
    <s v="D04"/>
    <x v="3"/>
    <s v="5400"/>
    <s v="Marketing &amp; Advertising"/>
    <x v="3"/>
    <x v="1"/>
    <n v="29120"/>
    <x v="0"/>
  </r>
  <r>
    <d v="2025-01-01T00:00:00"/>
    <x v="0"/>
    <s v="D04"/>
    <x v="3"/>
    <s v="5500"/>
    <s v="Professional Services"/>
    <x v="4"/>
    <x v="0"/>
    <n v="5962.14"/>
    <x v="0"/>
  </r>
  <r>
    <d v="2025-01-01T00:00:00"/>
    <x v="0"/>
    <s v="D04"/>
    <x v="3"/>
    <s v="5500"/>
    <s v="Professional Services"/>
    <x v="4"/>
    <x v="1"/>
    <n v="6240"/>
    <x v="0"/>
  </r>
  <r>
    <d v="2025-01-01T00:00:00"/>
    <x v="0"/>
    <s v="D04"/>
    <x v="3"/>
    <s v="5600"/>
    <s v="Office Supplies"/>
    <x v="5"/>
    <x v="0"/>
    <n v="744.55"/>
    <x v="0"/>
  </r>
  <r>
    <d v="2025-01-01T00:00:00"/>
    <x v="0"/>
    <s v="D04"/>
    <x v="3"/>
    <s v="5600"/>
    <s v="Office Supplies"/>
    <x v="5"/>
    <x v="1"/>
    <n v="728"/>
    <x v="0"/>
  </r>
  <r>
    <d v="2025-01-01T00:00:00"/>
    <x v="0"/>
    <s v="D04"/>
    <x v="3"/>
    <s v="5700"/>
    <s v="Training &amp; Development"/>
    <x v="5"/>
    <x v="0"/>
    <n v="1074.7"/>
    <x v="0"/>
  </r>
  <r>
    <d v="2025-01-01T00:00:00"/>
    <x v="0"/>
    <s v="D04"/>
    <x v="3"/>
    <s v="5700"/>
    <s v="Training &amp; Development"/>
    <x v="5"/>
    <x v="1"/>
    <n v="1144"/>
    <x v="0"/>
  </r>
  <r>
    <d v="2025-01-01T00:00:00"/>
    <x v="0"/>
    <s v="D05"/>
    <x v="4"/>
    <s v="5000"/>
    <s v="Salaries"/>
    <x v="0"/>
    <x v="0"/>
    <n v="47947.03"/>
    <x v="0"/>
  </r>
  <r>
    <d v="2025-01-01T00:00:00"/>
    <x v="0"/>
    <s v="D05"/>
    <x v="4"/>
    <s v="5000"/>
    <s v="Salaries"/>
    <x v="0"/>
    <x v="1"/>
    <n v="53560"/>
    <x v="0"/>
  </r>
  <r>
    <d v="2025-01-01T00:00:00"/>
    <x v="0"/>
    <s v="D05"/>
    <x v="4"/>
    <s v="5100"/>
    <s v="Benefits"/>
    <x v="0"/>
    <x v="0"/>
    <n v="11497.16"/>
    <x v="0"/>
  </r>
  <r>
    <d v="2025-01-01T00:00:00"/>
    <x v="0"/>
    <s v="D05"/>
    <x v="4"/>
    <s v="5100"/>
    <s v="Benefits"/>
    <x v="0"/>
    <x v="1"/>
    <n v="11783.2"/>
    <x v="0"/>
  </r>
  <r>
    <d v="2025-01-01T00:00:00"/>
    <x v="0"/>
    <s v="D05"/>
    <x v="4"/>
    <s v="5200"/>
    <s v="Occupancy &amp; Facilities"/>
    <x v="1"/>
    <x v="0"/>
    <n v="4084.68"/>
    <x v="0"/>
  </r>
  <r>
    <d v="2025-01-01T00:00:00"/>
    <x v="0"/>
    <s v="D05"/>
    <x v="4"/>
    <s v="5200"/>
    <s v="Occupancy &amp; Facilities"/>
    <x v="1"/>
    <x v="1"/>
    <n v="4000"/>
    <x v="0"/>
  </r>
  <r>
    <d v="2025-01-01T00:00:00"/>
    <x v="0"/>
    <s v="D05"/>
    <x v="4"/>
    <s v="5300"/>
    <s v="IT Software &amp; Subscriptions"/>
    <x v="2"/>
    <x v="0"/>
    <n v="5382.21"/>
    <x v="0"/>
  </r>
  <r>
    <d v="2025-01-01T00:00:00"/>
    <x v="0"/>
    <s v="D05"/>
    <x v="4"/>
    <s v="5300"/>
    <s v="IT Software &amp; Subscriptions"/>
    <x v="2"/>
    <x v="1"/>
    <n v="5200"/>
    <x v="0"/>
  </r>
  <r>
    <d v="2025-01-01T00:00:00"/>
    <x v="0"/>
    <s v="D05"/>
    <x v="4"/>
    <s v="5400"/>
    <s v="Marketing &amp; Advertising"/>
    <x v="3"/>
    <x v="0"/>
    <n v="1281.1600000000001"/>
    <x v="0"/>
  </r>
  <r>
    <d v="2025-01-01T00:00:00"/>
    <x v="0"/>
    <s v="D05"/>
    <x v="4"/>
    <s v="5400"/>
    <s v="Marketing &amp; Advertising"/>
    <x v="3"/>
    <x v="1"/>
    <n v="1248"/>
    <x v="0"/>
  </r>
  <r>
    <d v="2025-01-01T00:00:00"/>
    <x v="0"/>
    <s v="D05"/>
    <x v="4"/>
    <s v="5500"/>
    <s v="Professional Services"/>
    <x v="4"/>
    <x v="0"/>
    <n v="3462.5"/>
    <x v="0"/>
  </r>
  <r>
    <d v="2025-01-01T00:00:00"/>
    <x v="0"/>
    <s v="D05"/>
    <x v="4"/>
    <s v="5500"/>
    <s v="Professional Services"/>
    <x v="4"/>
    <x v="1"/>
    <n v="3640"/>
    <x v="0"/>
  </r>
  <r>
    <d v="2025-01-01T00:00:00"/>
    <x v="0"/>
    <s v="D05"/>
    <x v="4"/>
    <s v="5600"/>
    <s v="Office Supplies"/>
    <x v="5"/>
    <x v="0"/>
    <n v="645.15"/>
    <x v="0"/>
  </r>
  <r>
    <d v="2025-01-01T00:00:00"/>
    <x v="0"/>
    <s v="D05"/>
    <x v="4"/>
    <s v="5600"/>
    <s v="Office Supplies"/>
    <x v="5"/>
    <x v="1"/>
    <n v="624"/>
    <x v="0"/>
  </r>
  <r>
    <d v="2025-01-01T00:00:00"/>
    <x v="0"/>
    <s v="D05"/>
    <x v="4"/>
    <s v="5700"/>
    <s v="Training &amp; Development"/>
    <x v="5"/>
    <x v="0"/>
    <n v="1597.29"/>
    <x v="0"/>
  </r>
  <r>
    <d v="2025-01-01T00:00:00"/>
    <x v="0"/>
    <s v="D05"/>
    <x v="4"/>
    <s v="5700"/>
    <s v="Training &amp; Development"/>
    <x v="5"/>
    <x v="1"/>
    <n v="1664"/>
    <x v="0"/>
  </r>
  <r>
    <d v="2025-02-01T00:00:00"/>
    <x v="1"/>
    <s v="D01"/>
    <x v="0"/>
    <s v="5000"/>
    <s v="Salaries"/>
    <x v="0"/>
    <x v="0"/>
    <n v="200157.12"/>
    <x v="0"/>
  </r>
  <r>
    <d v="2025-02-01T00:00:00"/>
    <x v="1"/>
    <s v="D01"/>
    <x v="0"/>
    <s v="5000"/>
    <s v="Salaries"/>
    <x v="0"/>
    <x v="1"/>
    <n v="200850"/>
    <x v="0"/>
  </r>
  <r>
    <d v="2025-02-01T00:00:00"/>
    <x v="1"/>
    <s v="D01"/>
    <x v="0"/>
    <s v="5100"/>
    <s v="Benefits"/>
    <x v="0"/>
    <x v="0"/>
    <n v="43667.54"/>
    <x v="0"/>
  </r>
  <r>
    <d v="2025-02-01T00:00:00"/>
    <x v="1"/>
    <s v="D01"/>
    <x v="0"/>
    <s v="5100"/>
    <s v="Benefits"/>
    <x v="0"/>
    <x v="1"/>
    <n v="44187"/>
    <x v="0"/>
  </r>
  <r>
    <d v="2025-02-01T00:00:00"/>
    <x v="1"/>
    <s v="D01"/>
    <x v="0"/>
    <s v="5200"/>
    <s v="Occupancy &amp; Facilities"/>
    <x v="1"/>
    <x v="0"/>
    <n v="40464.35"/>
    <x v="0"/>
  </r>
  <r>
    <d v="2025-02-01T00:00:00"/>
    <x v="1"/>
    <s v="D01"/>
    <x v="0"/>
    <s v="5200"/>
    <s v="Occupancy &amp; Facilities"/>
    <x v="1"/>
    <x v="1"/>
    <n v="38000"/>
    <x v="0"/>
  </r>
  <r>
    <d v="2025-02-01T00:00:00"/>
    <x v="1"/>
    <s v="D01"/>
    <x v="0"/>
    <s v="5300"/>
    <s v="IT Software &amp; Subscriptions"/>
    <x v="2"/>
    <x v="0"/>
    <n v="12888.66"/>
    <x v="0"/>
  </r>
  <r>
    <d v="2025-02-01T00:00:00"/>
    <x v="1"/>
    <s v="D01"/>
    <x v="0"/>
    <s v="5300"/>
    <s v="IT Software &amp; Subscriptions"/>
    <x v="2"/>
    <x v="1"/>
    <n v="12480"/>
    <x v="0"/>
  </r>
  <r>
    <d v="2025-02-01T00:00:00"/>
    <x v="1"/>
    <s v="D01"/>
    <x v="0"/>
    <s v="5400"/>
    <s v="Marketing &amp; Advertising"/>
    <x v="3"/>
    <x v="0"/>
    <n v="4266.2299999999996"/>
    <x v="0"/>
  </r>
  <r>
    <d v="2025-02-01T00:00:00"/>
    <x v="1"/>
    <s v="D01"/>
    <x v="0"/>
    <s v="5400"/>
    <s v="Marketing &amp; Advertising"/>
    <x v="3"/>
    <x v="1"/>
    <n v="4160"/>
    <x v="0"/>
  </r>
  <r>
    <d v="2025-02-01T00:00:00"/>
    <x v="1"/>
    <s v="D01"/>
    <x v="0"/>
    <s v="5500"/>
    <s v="Professional Services"/>
    <x v="4"/>
    <x v="0"/>
    <n v="5272.78"/>
    <x v="0"/>
  </r>
  <r>
    <d v="2025-02-01T00:00:00"/>
    <x v="1"/>
    <s v="D01"/>
    <x v="0"/>
    <s v="5500"/>
    <s v="Professional Services"/>
    <x v="4"/>
    <x v="1"/>
    <n v="5200"/>
    <x v="0"/>
  </r>
  <r>
    <d v="2025-02-01T00:00:00"/>
    <x v="1"/>
    <s v="D01"/>
    <x v="0"/>
    <s v="5600"/>
    <s v="Office Supplies"/>
    <x v="5"/>
    <x v="0"/>
    <n v="1600.56"/>
    <x v="0"/>
  </r>
  <r>
    <d v="2025-02-01T00:00:00"/>
    <x v="1"/>
    <s v="D01"/>
    <x v="0"/>
    <s v="5600"/>
    <s v="Office Supplies"/>
    <x v="5"/>
    <x v="1"/>
    <n v="1560"/>
    <x v="0"/>
  </r>
  <r>
    <d v="2025-02-01T00:00:00"/>
    <x v="1"/>
    <s v="D01"/>
    <x v="0"/>
    <s v="5700"/>
    <s v="Training &amp; Development"/>
    <x v="5"/>
    <x v="0"/>
    <n v="1271.8900000000001"/>
    <x v="0"/>
  </r>
  <r>
    <d v="2025-02-01T00:00:00"/>
    <x v="1"/>
    <s v="D01"/>
    <x v="0"/>
    <s v="5700"/>
    <s v="Training &amp; Development"/>
    <x v="5"/>
    <x v="1"/>
    <n v="1248"/>
    <x v="0"/>
  </r>
  <r>
    <d v="2025-02-01T00:00:00"/>
    <x v="1"/>
    <s v="D02"/>
    <x v="1"/>
    <s v="5000"/>
    <s v="Salaries"/>
    <x v="0"/>
    <x v="0"/>
    <n v="168700.26"/>
    <x v="0"/>
  </r>
  <r>
    <d v="2025-02-01T00:00:00"/>
    <x v="1"/>
    <s v="D02"/>
    <x v="1"/>
    <s v="5000"/>
    <s v="Salaries"/>
    <x v="0"/>
    <x v="1"/>
    <n v="173040"/>
    <x v="0"/>
  </r>
  <r>
    <d v="2025-02-01T00:00:00"/>
    <x v="1"/>
    <s v="D02"/>
    <x v="1"/>
    <s v="5100"/>
    <s v="Benefits"/>
    <x v="0"/>
    <x v="0"/>
    <n v="36976.42"/>
    <x v="0"/>
  </r>
  <r>
    <d v="2025-02-01T00:00:00"/>
    <x v="1"/>
    <s v="D02"/>
    <x v="1"/>
    <s v="5100"/>
    <s v="Benefits"/>
    <x v="0"/>
    <x v="1"/>
    <n v="38068.800000000003"/>
    <x v="0"/>
  </r>
  <r>
    <d v="2025-02-01T00:00:00"/>
    <x v="1"/>
    <s v="D02"/>
    <x v="1"/>
    <s v="5200"/>
    <s v="Occupancy &amp; Facilities"/>
    <x v="1"/>
    <x v="0"/>
    <n v="16641.169999999998"/>
    <x v="0"/>
  </r>
  <r>
    <d v="2025-02-01T00:00:00"/>
    <x v="1"/>
    <s v="D02"/>
    <x v="1"/>
    <s v="5200"/>
    <s v="Occupancy &amp; Facilities"/>
    <x v="1"/>
    <x v="1"/>
    <n v="16000"/>
    <x v="0"/>
  </r>
  <r>
    <d v="2025-02-01T00:00:00"/>
    <x v="1"/>
    <s v="D02"/>
    <x v="1"/>
    <s v="5300"/>
    <s v="IT Software &amp; Subscriptions"/>
    <x v="2"/>
    <x v="0"/>
    <n v="9546.9500000000007"/>
    <x v="0"/>
  </r>
  <r>
    <d v="2025-02-01T00:00:00"/>
    <x v="1"/>
    <s v="D02"/>
    <x v="1"/>
    <s v="5300"/>
    <s v="IT Software &amp; Subscriptions"/>
    <x v="2"/>
    <x v="1"/>
    <n v="9360"/>
    <x v="0"/>
  </r>
  <r>
    <d v="2025-02-01T00:00:00"/>
    <x v="1"/>
    <s v="D02"/>
    <x v="1"/>
    <s v="5400"/>
    <s v="Marketing &amp; Advertising"/>
    <x v="3"/>
    <x v="0"/>
    <n v="6177.57"/>
    <x v="0"/>
  </r>
  <r>
    <d v="2025-02-01T00:00:00"/>
    <x v="1"/>
    <s v="D02"/>
    <x v="1"/>
    <s v="5400"/>
    <s v="Marketing &amp; Advertising"/>
    <x v="3"/>
    <x v="1"/>
    <n v="6240"/>
    <x v="0"/>
  </r>
  <r>
    <d v="2025-02-01T00:00:00"/>
    <x v="1"/>
    <s v="D02"/>
    <x v="1"/>
    <s v="5500"/>
    <s v="Professional Services"/>
    <x v="4"/>
    <x v="0"/>
    <n v="9097.34"/>
    <x v="0"/>
  </r>
  <r>
    <d v="2025-02-01T00:00:00"/>
    <x v="1"/>
    <s v="D02"/>
    <x v="1"/>
    <s v="5500"/>
    <s v="Professional Services"/>
    <x v="4"/>
    <x v="1"/>
    <n v="8320"/>
    <x v="0"/>
  </r>
  <r>
    <d v="2025-02-01T00:00:00"/>
    <x v="1"/>
    <s v="D02"/>
    <x v="1"/>
    <s v="5600"/>
    <s v="Office Supplies"/>
    <x v="5"/>
    <x v="0"/>
    <n v="905.33"/>
    <x v="0"/>
  </r>
  <r>
    <d v="2025-02-01T00:00:00"/>
    <x v="1"/>
    <s v="D02"/>
    <x v="1"/>
    <s v="5600"/>
    <s v="Office Supplies"/>
    <x v="5"/>
    <x v="1"/>
    <n v="936"/>
    <x v="0"/>
  </r>
  <r>
    <d v="2025-02-01T00:00:00"/>
    <x v="1"/>
    <s v="D02"/>
    <x v="1"/>
    <s v="5700"/>
    <s v="Training &amp; Development"/>
    <x v="5"/>
    <x v="0"/>
    <n v="1392"/>
    <x v="0"/>
  </r>
  <r>
    <d v="2025-02-01T00:00:00"/>
    <x v="1"/>
    <s v="D02"/>
    <x v="1"/>
    <s v="5700"/>
    <s v="Training &amp; Development"/>
    <x v="5"/>
    <x v="1"/>
    <n v="1456"/>
    <x v="0"/>
  </r>
  <r>
    <d v="2025-02-01T00:00:00"/>
    <x v="1"/>
    <s v="D03"/>
    <x v="2"/>
    <s v="5000"/>
    <s v="Salaries"/>
    <x v="0"/>
    <x v="0"/>
    <n v="156064.18"/>
    <x v="0"/>
  </r>
  <r>
    <d v="2025-02-01T00:00:00"/>
    <x v="1"/>
    <s v="D03"/>
    <x v="2"/>
    <s v="5000"/>
    <s v="Salaries"/>
    <x v="0"/>
    <x v="1"/>
    <n v="151410"/>
    <x v="0"/>
  </r>
  <r>
    <d v="2025-02-01T00:00:00"/>
    <x v="1"/>
    <s v="D03"/>
    <x v="2"/>
    <s v="5100"/>
    <s v="Benefits"/>
    <x v="0"/>
    <x v="0"/>
    <n v="35204.68"/>
    <x v="0"/>
  </r>
  <r>
    <d v="2025-02-01T00:00:00"/>
    <x v="1"/>
    <s v="D03"/>
    <x v="2"/>
    <s v="5100"/>
    <s v="Benefits"/>
    <x v="0"/>
    <x v="1"/>
    <n v="33310.199999999997"/>
    <x v="0"/>
  </r>
  <r>
    <d v="2025-02-01T00:00:00"/>
    <x v="1"/>
    <s v="D03"/>
    <x v="2"/>
    <s v="5200"/>
    <s v="Occupancy &amp; Facilities"/>
    <x v="1"/>
    <x v="0"/>
    <n v="9732.9699999999993"/>
    <x v="0"/>
  </r>
  <r>
    <d v="2025-02-01T00:00:00"/>
    <x v="1"/>
    <s v="D03"/>
    <x v="2"/>
    <s v="5200"/>
    <s v="Occupancy &amp; Facilities"/>
    <x v="1"/>
    <x v="1"/>
    <n v="9000"/>
    <x v="0"/>
  </r>
  <r>
    <d v="2025-02-01T00:00:00"/>
    <x v="1"/>
    <s v="D03"/>
    <x v="2"/>
    <s v="5300"/>
    <s v="IT Software &amp; Subscriptions"/>
    <x v="2"/>
    <x v="0"/>
    <n v="45140.34"/>
    <x v="0"/>
  </r>
  <r>
    <d v="2025-02-01T00:00:00"/>
    <x v="1"/>
    <s v="D03"/>
    <x v="2"/>
    <s v="5300"/>
    <s v="IT Software &amp; Subscriptions"/>
    <x v="2"/>
    <x v="1"/>
    <n v="43680"/>
    <x v="0"/>
  </r>
  <r>
    <d v="2025-02-01T00:00:00"/>
    <x v="1"/>
    <s v="D03"/>
    <x v="2"/>
    <s v="5400"/>
    <s v="Marketing &amp; Advertising"/>
    <x v="3"/>
    <x v="0"/>
    <n v="1649"/>
    <x v="0"/>
  </r>
  <r>
    <d v="2025-02-01T00:00:00"/>
    <x v="1"/>
    <s v="D03"/>
    <x v="2"/>
    <s v="5400"/>
    <s v="Marketing &amp; Advertising"/>
    <x v="3"/>
    <x v="1"/>
    <n v="1560"/>
    <x v="0"/>
  </r>
  <r>
    <d v="2025-02-01T00:00:00"/>
    <x v="1"/>
    <s v="D03"/>
    <x v="2"/>
    <s v="5500"/>
    <s v="Professional Services"/>
    <x v="4"/>
    <x v="0"/>
    <n v="12433.06"/>
    <x v="0"/>
  </r>
  <r>
    <d v="2025-02-01T00:00:00"/>
    <x v="1"/>
    <s v="D03"/>
    <x v="2"/>
    <s v="5500"/>
    <s v="Professional Services"/>
    <x v="4"/>
    <x v="1"/>
    <n v="12480"/>
    <x v="0"/>
  </r>
  <r>
    <d v="2025-02-01T00:00:00"/>
    <x v="1"/>
    <s v="D03"/>
    <x v="2"/>
    <s v="5600"/>
    <s v="Office Supplies"/>
    <x v="5"/>
    <x v="0"/>
    <n v="784.64"/>
    <x v="0"/>
  </r>
  <r>
    <d v="2025-02-01T00:00:00"/>
    <x v="1"/>
    <s v="D03"/>
    <x v="2"/>
    <s v="5600"/>
    <s v="Office Supplies"/>
    <x v="5"/>
    <x v="1"/>
    <n v="832"/>
    <x v="0"/>
  </r>
  <r>
    <d v="2025-02-01T00:00:00"/>
    <x v="1"/>
    <s v="D03"/>
    <x v="2"/>
    <s v="5700"/>
    <s v="Training &amp; Development"/>
    <x v="5"/>
    <x v="0"/>
    <n v="1832.16"/>
    <x v="0"/>
  </r>
  <r>
    <d v="2025-02-01T00:00:00"/>
    <x v="1"/>
    <s v="D03"/>
    <x v="2"/>
    <s v="5700"/>
    <s v="Training &amp; Development"/>
    <x v="5"/>
    <x v="1"/>
    <n v="1872"/>
    <x v="0"/>
  </r>
  <r>
    <d v="2025-02-01T00:00:00"/>
    <x v="1"/>
    <s v="D04"/>
    <x v="3"/>
    <s v="5000"/>
    <s v="Salaries"/>
    <x v="0"/>
    <x v="0"/>
    <n v="66828.710000000006"/>
    <x v="0"/>
  </r>
  <r>
    <d v="2025-02-01T00:00:00"/>
    <x v="1"/>
    <s v="D04"/>
    <x v="3"/>
    <s v="5000"/>
    <s v="Salaries"/>
    <x v="0"/>
    <x v="1"/>
    <n v="64375"/>
    <x v="0"/>
  </r>
  <r>
    <d v="2025-02-01T00:00:00"/>
    <x v="1"/>
    <s v="D04"/>
    <x v="3"/>
    <s v="5100"/>
    <s v="Benefits"/>
    <x v="0"/>
    <x v="0"/>
    <n v="13344.66"/>
    <x v="0"/>
  </r>
  <r>
    <d v="2025-02-01T00:00:00"/>
    <x v="1"/>
    <s v="D04"/>
    <x v="3"/>
    <s v="5100"/>
    <s v="Benefits"/>
    <x v="0"/>
    <x v="1"/>
    <n v="14162.5"/>
    <x v="0"/>
  </r>
  <r>
    <d v="2025-02-01T00:00:00"/>
    <x v="1"/>
    <s v="D04"/>
    <x v="3"/>
    <s v="5200"/>
    <s v="Occupancy &amp; Facilities"/>
    <x v="1"/>
    <x v="0"/>
    <n v="6368.53"/>
    <x v="0"/>
  </r>
  <r>
    <d v="2025-02-01T00:00:00"/>
    <x v="1"/>
    <s v="D04"/>
    <x v="3"/>
    <s v="5200"/>
    <s v="Occupancy &amp; Facilities"/>
    <x v="1"/>
    <x v="1"/>
    <n v="6000"/>
    <x v="0"/>
  </r>
  <r>
    <d v="2025-02-01T00:00:00"/>
    <x v="1"/>
    <s v="D04"/>
    <x v="3"/>
    <s v="5300"/>
    <s v="IT Software &amp; Subscriptions"/>
    <x v="2"/>
    <x v="0"/>
    <n v="7353.74"/>
    <x v="0"/>
  </r>
  <r>
    <d v="2025-02-01T00:00:00"/>
    <x v="1"/>
    <s v="D04"/>
    <x v="3"/>
    <s v="5300"/>
    <s v="IT Software &amp; Subscriptions"/>
    <x v="2"/>
    <x v="1"/>
    <n v="7280"/>
    <x v="0"/>
  </r>
  <r>
    <d v="2025-02-01T00:00:00"/>
    <x v="1"/>
    <s v="D04"/>
    <x v="3"/>
    <s v="5400"/>
    <s v="Marketing &amp; Advertising"/>
    <x v="3"/>
    <x v="0"/>
    <n v="28752.400000000001"/>
    <x v="0"/>
  </r>
  <r>
    <d v="2025-02-01T00:00:00"/>
    <x v="1"/>
    <s v="D04"/>
    <x v="3"/>
    <s v="5400"/>
    <s v="Marketing &amp; Advertising"/>
    <x v="3"/>
    <x v="1"/>
    <n v="29120"/>
    <x v="0"/>
  </r>
  <r>
    <d v="2025-02-01T00:00:00"/>
    <x v="1"/>
    <s v="D04"/>
    <x v="3"/>
    <s v="5500"/>
    <s v="Professional Services"/>
    <x v="4"/>
    <x v="0"/>
    <n v="6420.62"/>
    <x v="0"/>
  </r>
  <r>
    <d v="2025-02-01T00:00:00"/>
    <x v="1"/>
    <s v="D04"/>
    <x v="3"/>
    <s v="5500"/>
    <s v="Professional Services"/>
    <x v="4"/>
    <x v="1"/>
    <n v="6240"/>
    <x v="0"/>
  </r>
  <r>
    <d v="2025-02-01T00:00:00"/>
    <x v="1"/>
    <s v="D04"/>
    <x v="3"/>
    <s v="5600"/>
    <s v="Office Supplies"/>
    <x v="5"/>
    <x v="0"/>
    <n v="744.91"/>
    <x v="0"/>
  </r>
  <r>
    <d v="2025-02-01T00:00:00"/>
    <x v="1"/>
    <s v="D04"/>
    <x v="3"/>
    <s v="5600"/>
    <s v="Office Supplies"/>
    <x v="5"/>
    <x v="1"/>
    <n v="728"/>
    <x v="0"/>
  </r>
  <r>
    <d v="2025-02-01T00:00:00"/>
    <x v="1"/>
    <s v="D04"/>
    <x v="3"/>
    <s v="5700"/>
    <s v="Training &amp; Development"/>
    <x v="5"/>
    <x v="0"/>
    <n v="1250.23"/>
    <x v="0"/>
  </r>
  <r>
    <d v="2025-02-01T00:00:00"/>
    <x v="1"/>
    <s v="D04"/>
    <x v="3"/>
    <s v="5700"/>
    <s v="Training &amp; Development"/>
    <x v="5"/>
    <x v="1"/>
    <n v="1144"/>
    <x v="0"/>
  </r>
  <r>
    <d v="2025-02-01T00:00:00"/>
    <x v="1"/>
    <s v="D05"/>
    <x v="4"/>
    <s v="5000"/>
    <s v="Salaries"/>
    <x v="0"/>
    <x v="0"/>
    <n v="54888.22"/>
    <x v="0"/>
  </r>
  <r>
    <d v="2025-02-01T00:00:00"/>
    <x v="1"/>
    <s v="D05"/>
    <x v="4"/>
    <s v="5000"/>
    <s v="Salaries"/>
    <x v="0"/>
    <x v="1"/>
    <n v="53560"/>
    <x v="0"/>
  </r>
  <r>
    <d v="2025-02-01T00:00:00"/>
    <x v="1"/>
    <s v="D05"/>
    <x v="4"/>
    <s v="5100"/>
    <s v="Benefits"/>
    <x v="0"/>
    <x v="0"/>
    <n v="11495.97"/>
    <x v="0"/>
  </r>
  <r>
    <d v="2025-02-01T00:00:00"/>
    <x v="1"/>
    <s v="D05"/>
    <x v="4"/>
    <s v="5100"/>
    <s v="Benefits"/>
    <x v="0"/>
    <x v="1"/>
    <n v="11783.2"/>
    <x v="0"/>
  </r>
  <r>
    <d v="2025-02-01T00:00:00"/>
    <x v="1"/>
    <s v="D05"/>
    <x v="4"/>
    <s v="5200"/>
    <s v="Occupancy &amp; Facilities"/>
    <x v="1"/>
    <x v="0"/>
    <n v="4144.72"/>
    <x v="0"/>
  </r>
  <r>
    <d v="2025-02-01T00:00:00"/>
    <x v="1"/>
    <s v="D05"/>
    <x v="4"/>
    <s v="5200"/>
    <s v="Occupancy &amp; Facilities"/>
    <x v="1"/>
    <x v="1"/>
    <n v="4000"/>
    <x v="0"/>
  </r>
  <r>
    <d v="2025-02-01T00:00:00"/>
    <x v="1"/>
    <s v="D05"/>
    <x v="4"/>
    <s v="5300"/>
    <s v="IT Software &amp; Subscriptions"/>
    <x v="2"/>
    <x v="0"/>
    <n v="5027.03"/>
    <x v="0"/>
  </r>
  <r>
    <d v="2025-02-01T00:00:00"/>
    <x v="1"/>
    <s v="D05"/>
    <x v="4"/>
    <s v="5300"/>
    <s v="IT Software &amp; Subscriptions"/>
    <x v="2"/>
    <x v="1"/>
    <n v="5200"/>
    <x v="0"/>
  </r>
  <r>
    <d v="2025-02-01T00:00:00"/>
    <x v="1"/>
    <s v="D05"/>
    <x v="4"/>
    <s v="5400"/>
    <s v="Marketing &amp; Advertising"/>
    <x v="3"/>
    <x v="0"/>
    <n v="1295.54"/>
    <x v="0"/>
  </r>
  <r>
    <d v="2025-02-01T00:00:00"/>
    <x v="1"/>
    <s v="D05"/>
    <x v="4"/>
    <s v="5400"/>
    <s v="Marketing &amp; Advertising"/>
    <x v="3"/>
    <x v="1"/>
    <n v="1248"/>
    <x v="0"/>
  </r>
  <r>
    <d v="2025-02-01T00:00:00"/>
    <x v="1"/>
    <s v="D05"/>
    <x v="4"/>
    <s v="5500"/>
    <s v="Professional Services"/>
    <x v="4"/>
    <x v="0"/>
    <n v="3557.47"/>
    <x v="0"/>
  </r>
  <r>
    <d v="2025-02-01T00:00:00"/>
    <x v="1"/>
    <s v="D05"/>
    <x v="4"/>
    <s v="5500"/>
    <s v="Professional Services"/>
    <x v="4"/>
    <x v="1"/>
    <n v="3640"/>
    <x v="0"/>
  </r>
  <r>
    <d v="2025-02-01T00:00:00"/>
    <x v="1"/>
    <s v="D05"/>
    <x v="4"/>
    <s v="5600"/>
    <s v="Office Supplies"/>
    <x v="5"/>
    <x v="0"/>
    <n v="622.25"/>
    <x v="0"/>
  </r>
  <r>
    <d v="2025-02-01T00:00:00"/>
    <x v="1"/>
    <s v="D05"/>
    <x v="4"/>
    <s v="5600"/>
    <s v="Office Supplies"/>
    <x v="5"/>
    <x v="1"/>
    <n v="624"/>
    <x v="0"/>
  </r>
  <r>
    <d v="2025-02-01T00:00:00"/>
    <x v="1"/>
    <s v="D05"/>
    <x v="4"/>
    <s v="5700"/>
    <s v="Training &amp; Development"/>
    <x v="5"/>
    <x v="0"/>
    <n v="1713.87"/>
    <x v="0"/>
  </r>
  <r>
    <d v="2025-02-01T00:00:00"/>
    <x v="1"/>
    <s v="D05"/>
    <x v="4"/>
    <s v="5700"/>
    <s v="Training &amp; Development"/>
    <x v="5"/>
    <x v="1"/>
    <n v="1664"/>
    <x v="0"/>
  </r>
  <r>
    <d v="2025-03-01T00:00:00"/>
    <x v="2"/>
    <s v="D01"/>
    <x v="0"/>
    <s v="5000"/>
    <s v="Salaries"/>
    <x v="0"/>
    <x v="0"/>
    <n v="195037.7"/>
    <x v="0"/>
  </r>
  <r>
    <d v="2025-03-01T00:00:00"/>
    <x v="2"/>
    <s v="D01"/>
    <x v="0"/>
    <s v="5000"/>
    <s v="Salaries"/>
    <x v="0"/>
    <x v="1"/>
    <n v="200850"/>
    <x v="0"/>
  </r>
  <r>
    <d v="2025-03-01T00:00:00"/>
    <x v="2"/>
    <s v="D01"/>
    <x v="0"/>
    <s v="5100"/>
    <s v="Benefits"/>
    <x v="0"/>
    <x v="0"/>
    <n v="43667.97"/>
    <x v="0"/>
  </r>
  <r>
    <d v="2025-03-01T00:00:00"/>
    <x v="2"/>
    <s v="D01"/>
    <x v="0"/>
    <s v="5100"/>
    <s v="Benefits"/>
    <x v="0"/>
    <x v="1"/>
    <n v="44187"/>
    <x v="0"/>
  </r>
  <r>
    <d v="2025-03-01T00:00:00"/>
    <x v="2"/>
    <s v="D01"/>
    <x v="0"/>
    <s v="5200"/>
    <s v="Occupancy &amp; Facilities"/>
    <x v="1"/>
    <x v="0"/>
    <n v="35201.24"/>
    <x v="0"/>
  </r>
  <r>
    <d v="2025-03-01T00:00:00"/>
    <x v="2"/>
    <s v="D01"/>
    <x v="0"/>
    <s v="5200"/>
    <s v="Occupancy &amp; Facilities"/>
    <x v="1"/>
    <x v="1"/>
    <n v="38000"/>
    <x v="0"/>
  </r>
  <r>
    <d v="2025-03-01T00:00:00"/>
    <x v="2"/>
    <s v="D01"/>
    <x v="0"/>
    <s v="5300"/>
    <s v="IT Software &amp; Subscriptions"/>
    <x v="2"/>
    <x v="0"/>
    <n v="11939.63"/>
    <x v="0"/>
  </r>
  <r>
    <d v="2025-03-01T00:00:00"/>
    <x v="2"/>
    <s v="D01"/>
    <x v="0"/>
    <s v="5300"/>
    <s v="IT Software &amp; Subscriptions"/>
    <x v="2"/>
    <x v="1"/>
    <n v="12480"/>
    <x v="0"/>
  </r>
  <r>
    <d v="2025-03-01T00:00:00"/>
    <x v="2"/>
    <s v="D01"/>
    <x v="0"/>
    <s v="5400"/>
    <s v="Marketing &amp; Advertising"/>
    <x v="3"/>
    <x v="0"/>
    <n v="5285.19"/>
    <x v="0"/>
  </r>
  <r>
    <d v="2025-03-01T00:00:00"/>
    <x v="2"/>
    <s v="D01"/>
    <x v="0"/>
    <s v="5400"/>
    <s v="Marketing &amp; Advertising"/>
    <x v="3"/>
    <x v="1"/>
    <n v="5408"/>
    <x v="0"/>
  </r>
  <r>
    <d v="2025-03-01T00:00:00"/>
    <x v="2"/>
    <s v="D01"/>
    <x v="0"/>
    <s v="5500"/>
    <s v="Professional Services"/>
    <x v="4"/>
    <x v="0"/>
    <n v="5286.48"/>
    <x v="0"/>
  </r>
  <r>
    <d v="2025-03-01T00:00:00"/>
    <x v="2"/>
    <s v="D01"/>
    <x v="0"/>
    <s v="5500"/>
    <s v="Professional Services"/>
    <x v="4"/>
    <x v="1"/>
    <n v="5200"/>
    <x v="0"/>
  </r>
  <r>
    <d v="2025-03-01T00:00:00"/>
    <x v="2"/>
    <s v="D01"/>
    <x v="0"/>
    <s v="5600"/>
    <s v="Office Supplies"/>
    <x v="5"/>
    <x v="0"/>
    <n v="1634.47"/>
    <x v="0"/>
  </r>
  <r>
    <d v="2025-03-01T00:00:00"/>
    <x v="2"/>
    <s v="D01"/>
    <x v="0"/>
    <s v="5600"/>
    <s v="Office Supplies"/>
    <x v="5"/>
    <x v="1"/>
    <n v="1560"/>
    <x v="0"/>
  </r>
  <r>
    <d v="2025-03-01T00:00:00"/>
    <x v="2"/>
    <s v="D01"/>
    <x v="0"/>
    <s v="5700"/>
    <s v="Training &amp; Development"/>
    <x v="5"/>
    <x v="0"/>
    <n v="1247.08"/>
    <x v="0"/>
  </r>
  <r>
    <d v="2025-03-01T00:00:00"/>
    <x v="2"/>
    <s v="D01"/>
    <x v="0"/>
    <s v="5700"/>
    <s v="Training &amp; Development"/>
    <x v="5"/>
    <x v="1"/>
    <n v="1248"/>
    <x v="0"/>
  </r>
  <r>
    <d v="2025-03-01T00:00:00"/>
    <x v="2"/>
    <s v="D02"/>
    <x v="1"/>
    <s v="5000"/>
    <s v="Salaries"/>
    <x v="0"/>
    <x v="0"/>
    <n v="174849.06"/>
    <x v="0"/>
  </r>
  <r>
    <d v="2025-03-01T00:00:00"/>
    <x v="2"/>
    <s v="D02"/>
    <x v="1"/>
    <s v="5000"/>
    <s v="Salaries"/>
    <x v="0"/>
    <x v="1"/>
    <n v="173040"/>
    <x v="0"/>
  </r>
  <r>
    <d v="2025-03-01T00:00:00"/>
    <x v="2"/>
    <s v="D02"/>
    <x v="1"/>
    <s v="5100"/>
    <s v="Benefits"/>
    <x v="0"/>
    <x v="0"/>
    <n v="38324.58"/>
    <x v="0"/>
  </r>
  <r>
    <d v="2025-03-01T00:00:00"/>
    <x v="2"/>
    <s v="D02"/>
    <x v="1"/>
    <s v="5100"/>
    <s v="Benefits"/>
    <x v="0"/>
    <x v="1"/>
    <n v="38068.800000000003"/>
    <x v="0"/>
  </r>
  <r>
    <d v="2025-03-01T00:00:00"/>
    <x v="2"/>
    <s v="D02"/>
    <x v="1"/>
    <s v="5200"/>
    <s v="Occupancy &amp; Facilities"/>
    <x v="1"/>
    <x v="0"/>
    <n v="16694.23"/>
    <x v="0"/>
  </r>
  <r>
    <d v="2025-03-01T00:00:00"/>
    <x v="2"/>
    <s v="D02"/>
    <x v="1"/>
    <s v="5200"/>
    <s v="Occupancy &amp; Facilities"/>
    <x v="1"/>
    <x v="1"/>
    <n v="16000"/>
    <x v="0"/>
  </r>
  <r>
    <d v="2025-03-01T00:00:00"/>
    <x v="2"/>
    <s v="D02"/>
    <x v="1"/>
    <s v="5300"/>
    <s v="IT Software &amp; Subscriptions"/>
    <x v="2"/>
    <x v="0"/>
    <n v="9694.4699999999993"/>
    <x v="0"/>
  </r>
  <r>
    <d v="2025-03-01T00:00:00"/>
    <x v="2"/>
    <s v="D02"/>
    <x v="1"/>
    <s v="5300"/>
    <s v="IT Software &amp; Subscriptions"/>
    <x v="2"/>
    <x v="1"/>
    <n v="9360"/>
    <x v="0"/>
  </r>
  <r>
    <d v="2025-03-01T00:00:00"/>
    <x v="2"/>
    <s v="D02"/>
    <x v="1"/>
    <s v="5400"/>
    <s v="Marketing &amp; Advertising"/>
    <x v="3"/>
    <x v="0"/>
    <n v="8200.81"/>
    <x v="0"/>
  </r>
  <r>
    <d v="2025-03-01T00:00:00"/>
    <x v="2"/>
    <s v="D02"/>
    <x v="1"/>
    <s v="5400"/>
    <s v="Marketing &amp; Advertising"/>
    <x v="3"/>
    <x v="1"/>
    <n v="8112"/>
    <x v="0"/>
  </r>
  <r>
    <d v="2025-03-01T00:00:00"/>
    <x v="2"/>
    <s v="D02"/>
    <x v="1"/>
    <s v="5500"/>
    <s v="Professional Services"/>
    <x v="4"/>
    <x v="0"/>
    <n v="7983.56"/>
    <x v="0"/>
  </r>
  <r>
    <d v="2025-03-01T00:00:00"/>
    <x v="2"/>
    <s v="D02"/>
    <x v="1"/>
    <s v="5500"/>
    <s v="Professional Services"/>
    <x v="4"/>
    <x v="1"/>
    <n v="8320"/>
    <x v="0"/>
  </r>
  <r>
    <d v="2025-03-01T00:00:00"/>
    <x v="2"/>
    <s v="D02"/>
    <x v="1"/>
    <s v="5600"/>
    <s v="Office Supplies"/>
    <x v="5"/>
    <x v="0"/>
    <n v="969.82"/>
    <x v="0"/>
  </r>
  <r>
    <d v="2025-03-01T00:00:00"/>
    <x v="2"/>
    <s v="D02"/>
    <x v="1"/>
    <s v="5600"/>
    <s v="Office Supplies"/>
    <x v="5"/>
    <x v="1"/>
    <n v="936"/>
    <x v="0"/>
  </r>
  <r>
    <d v="2025-03-01T00:00:00"/>
    <x v="2"/>
    <s v="D02"/>
    <x v="1"/>
    <s v="5700"/>
    <s v="Training &amp; Development"/>
    <x v="5"/>
    <x v="0"/>
    <n v="1478.19"/>
    <x v="0"/>
  </r>
  <r>
    <d v="2025-03-01T00:00:00"/>
    <x v="2"/>
    <s v="D02"/>
    <x v="1"/>
    <s v="5700"/>
    <s v="Training &amp; Development"/>
    <x v="5"/>
    <x v="1"/>
    <n v="1456"/>
    <x v="0"/>
  </r>
  <r>
    <d v="2025-03-01T00:00:00"/>
    <x v="2"/>
    <s v="D03"/>
    <x v="2"/>
    <s v="5000"/>
    <s v="Salaries"/>
    <x v="0"/>
    <x v="0"/>
    <n v="158840.85"/>
    <x v="0"/>
  </r>
  <r>
    <d v="2025-03-01T00:00:00"/>
    <x v="2"/>
    <s v="D03"/>
    <x v="2"/>
    <s v="5000"/>
    <s v="Salaries"/>
    <x v="0"/>
    <x v="1"/>
    <n v="151410"/>
    <x v="0"/>
  </r>
  <r>
    <d v="2025-03-01T00:00:00"/>
    <x v="2"/>
    <s v="D03"/>
    <x v="2"/>
    <s v="5100"/>
    <s v="Benefits"/>
    <x v="0"/>
    <x v="0"/>
    <n v="33270.35"/>
    <x v="0"/>
  </r>
  <r>
    <d v="2025-03-01T00:00:00"/>
    <x v="2"/>
    <s v="D03"/>
    <x v="2"/>
    <s v="5100"/>
    <s v="Benefits"/>
    <x v="0"/>
    <x v="1"/>
    <n v="33310.199999999997"/>
    <x v="0"/>
  </r>
  <r>
    <d v="2025-03-01T00:00:00"/>
    <x v="2"/>
    <s v="D03"/>
    <x v="2"/>
    <s v="5200"/>
    <s v="Occupancy &amp; Facilities"/>
    <x v="1"/>
    <x v="0"/>
    <n v="9703.1200000000008"/>
    <x v="0"/>
  </r>
  <r>
    <d v="2025-03-01T00:00:00"/>
    <x v="2"/>
    <s v="D03"/>
    <x v="2"/>
    <s v="5200"/>
    <s v="Occupancy &amp; Facilities"/>
    <x v="1"/>
    <x v="1"/>
    <n v="9000"/>
    <x v="0"/>
  </r>
  <r>
    <d v="2025-03-01T00:00:00"/>
    <x v="2"/>
    <s v="D03"/>
    <x v="2"/>
    <s v="5300"/>
    <s v="IT Software &amp; Subscriptions"/>
    <x v="2"/>
    <x v="0"/>
    <n v="43052.97"/>
    <x v="0"/>
  </r>
  <r>
    <d v="2025-03-01T00:00:00"/>
    <x v="2"/>
    <s v="D03"/>
    <x v="2"/>
    <s v="5300"/>
    <s v="IT Software &amp; Subscriptions"/>
    <x v="2"/>
    <x v="1"/>
    <n v="43680"/>
    <x v="0"/>
  </r>
  <r>
    <d v="2025-03-01T00:00:00"/>
    <x v="2"/>
    <s v="D03"/>
    <x v="2"/>
    <s v="5400"/>
    <s v="Marketing &amp; Advertising"/>
    <x v="3"/>
    <x v="0"/>
    <n v="2157.23"/>
    <x v="0"/>
  </r>
  <r>
    <d v="2025-03-01T00:00:00"/>
    <x v="2"/>
    <s v="D03"/>
    <x v="2"/>
    <s v="5400"/>
    <s v="Marketing &amp; Advertising"/>
    <x v="3"/>
    <x v="1"/>
    <n v="2028"/>
    <x v="0"/>
  </r>
  <r>
    <d v="2025-03-01T00:00:00"/>
    <x v="2"/>
    <s v="D03"/>
    <x v="2"/>
    <s v="5500"/>
    <s v="Professional Services"/>
    <x v="4"/>
    <x v="0"/>
    <n v="12537.47"/>
    <x v="0"/>
  </r>
  <r>
    <d v="2025-03-01T00:00:00"/>
    <x v="2"/>
    <s v="D03"/>
    <x v="2"/>
    <s v="5500"/>
    <s v="Professional Services"/>
    <x v="4"/>
    <x v="1"/>
    <n v="12480"/>
    <x v="0"/>
  </r>
  <r>
    <d v="2025-03-01T00:00:00"/>
    <x v="2"/>
    <s v="D03"/>
    <x v="2"/>
    <s v="5600"/>
    <s v="Office Supplies"/>
    <x v="5"/>
    <x v="0"/>
    <n v="814.82"/>
    <x v="0"/>
  </r>
  <r>
    <d v="2025-03-01T00:00:00"/>
    <x v="2"/>
    <s v="D03"/>
    <x v="2"/>
    <s v="5600"/>
    <s v="Office Supplies"/>
    <x v="5"/>
    <x v="1"/>
    <n v="832"/>
    <x v="0"/>
  </r>
  <r>
    <d v="2025-03-01T00:00:00"/>
    <x v="2"/>
    <s v="D03"/>
    <x v="2"/>
    <s v="5700"/>
    <s v="Training &amp; Development"/>
    <x v="5"/>
    <x v="0"/>
    <n v="1787.5"/>
    <x v="0"/>
  </r>
  <r>
    <d v="2025-03-01T00:00:00"/>
    <x v="2"/>
    <s v="D03"/>
    <x v="2"/>
    <s v="5700"/>
    <s v="Training &amp; Development"/>
    <x v="5"/>
    <x v="1"/>
    <n v="1872"/>
    <x v="0"/>
  </r>
  <r>
    <d v="2025-03-01T00:00:00"/>
    <x v="2"/>
    <s v="D04"/>
    <x v="3"/>
    <s v="5000"/>
    <s v="Salaries"/>
    <x v="0"/>
    <x v="0"/>
    <n v="63986.1"/>
    <x v="0"/>
  </r>
  <r>
    <d v="2025-03-01T00:00:00"/>
    <x v="2"/>
    <s v="D04"/>
    <x v="3"/>
    <s v="5000"/>
    <s v="Salaries"/>
    <x v="0"/>
    <x v="1"/>
    <n v="64375"/>
    <x v="0"/>
  </r>
  <r>
    <d v="2025-03-01T00:00:00"/>
    <x v="2"/>
    <s v="D04"/>
    <x v="3"/>
    <s v="5100"/>
    <s v="Benefits"/>
    <x v="0"/>
    <x v="0"/>
    <n v="14968.81"/>
    <x v="0"/>
  </r>
  <r>
    <d v="2025-03-01T00:00:00"/>
    <x v="2"/>
    <s v="D04"/>
    <x v="3"/>
    <s v="5100"/>
    <s v="Benefits"/>
    <x v="0"/>
    <x v="1"/>
    <n v="14162.5"/>
    <x v="0"/>
  </r>
  <r>
    <d v="2025-03-01T00:00:00"/>
    <x v="2"/>
    <s v="D04"/>
    <x v="3"/>
    <s v="5200"/>
    <s v="Occupancy &amp; Facilities"/>
    <x v="1"/>
    <x v="0"/>
    <n v="6195.93"/>
    <x v="0"/>
  </r>
  <r>
    <d v="2025-03-01T00:00:00"/>
    <x v="2"/>
    <s v="D04"/>
    <x v="3"/>
    <s v="5200"/>
    <s v="Occupancy &amp; Facilities"/>
    <x v="1"/>
    <x v="1"/>
    <n v="6000"/>
    <x v="0"/>
  </r>
  <r>
    <d v="2025-03-01T00:00:00"/>
    <x v="2"/>
    <s v="D04"/>
    <x v="3"/>
    <s v="5300"/>
    <s v="IT Software &amp; Subscriptions"/>
    <x v="2"/>
    <x v="0"/>
    <n v="7480.6"/>
    <x v="0"/>
  </r>
  <r>
    <d v="2025-03-01T00:00:00"/>
    <x v="2"/>
    <s v="D04"/>
    <x v="3"/>
    <s v="5300"/>
    <s v="IT Software &amp; Subscriptions"/>
    <x v="2"/>
    <x v="1"/>
    <n v="7280"/>
    <x v="0"/>
  </r>
  <r>
    <d v="2025-03-01T00:00:00"/>
    <x v="2"/>
    <s v="D04"/>
    <x v="3"/>
    <s v="5400"/>
    <s v="Marketing &amp; Advertising"/>
    <x v="3"/>
    <x v="0"/>
    <n v="34258.36"/>
    <x v="0"/>
  </r>
  <r>
    <d v="2025-03-01T00:00:00"/>
    <x v="2"/>
    <s v="D04"/>
    <x v="3"/>
    <s v="5400"/>
    <s v="Marketing &amp; Advertising"/>
    <x v="3"/>
    <x v="1"/>
    <n v="37856"/>
    <x v="0"/>
  </r>
  <r>
    <d v="2025-03-01T00:00:00"/>
    <x v="2"/>
    <s v="D04"/>
    <x v="3"/>
    <s v="5500"/>
    <s v="Professional Services"/>
    <x v="4"/>
    <x v="0"/>
    <n v="6417.46"/>
    <x v="0"/>
  </r>
  <r>
    <d v="2025-03-01T00:00:00"/>
    <x v="2"/>
    <s v="D04"/>
    <x v="3"/>
    <s v="5500"/>
    <s v="Professional Services"/>
    <x v="4"/>
    <x v="1"/>
    <n v="6240"/>
    <x v="0"/>
  </r>
  <r>
    <d v="2025-03-01T00:00:00"/>
    <x v="2"/>
    <s v="D04"/>
    <x v="3"/>
    <s v="5600"/>
    <s v="Office Supplies"/>
    <x v="5"/>
    <x v="0"/>
    <n v="744.19"/>
    <x v="0"/>
  </r>
  <r>
    <d v="2025-03-01T00:00:00"/>
    <x v="2"/>
    <s v="D04"/>
    <x v="3"/>
    <s v="5600"/>
    <s v="Office Supplies"/>
    <x v="5"/>
    <x v="1"/>
    <n v="728"/>
    <x v="0"/>
  </r>
  <r>
    <d v="2025-03-01T00:00:00"/>
    <x v="2"/>
    <s v="D04"/>
    <x v="3"/>
    <s v="5700"/>
    <s v="Training &amp; Development"/>
    <x v="5"/>
    <x v="0"/>
    <n v="1118.8399999999999"/>
    <x v="0"/>
  </r>
  <r>
    <d v="2025-03-01T00:00:00"/>
    <x v="2"/>
    <s v="D04"/>
    <x v="3"/>
    <s v="5700"/>
    <s v="Training &amp; Development"/>
    <x v="5"/>
    <x v="1"/>
    <n v="1144"/>
    <x v="0"/>
  </r>
  <r>
    <d v="2025-03-01T00:00:00"/>
    <x v="2"/>
    <s v="D05"/>
    <x v="4"/>
    <s v="5000"/>
    <s v="Salaries"/>
    <x v="0"/>
    <x v="0"/>
    <n v="52215.89"/>
    <x v="0"/>
  </r>
  <r>
    <d v="2025-03-01T00:00:00"/>
    <x v="2"/>
    <s v="D05"/>
    <x v="4"/>
    <s v="5000"/>
    <s v="Salaries"/>
    <x v="0"/>
    <x v="1"/>
    <n v="53560"/>
    <x v="0"/>
  </r>
  <r>
    <d v="2025-03-01T00:00:00"/>
    <x v="2"/>
    <s v="D05"/>
    <x v="4"/>
    <s v="5100"/>
    <s v="Benefits"/>
    <x v="0"/>
    <x v="0"/>
    <n v="11782.11"/>
    <x v="0"/>
  </r>
  <r>
    <d v="2025-03-01T00:00:00"/>
    <x v="2"/>
    <s v="D05"/>
    <x v="4"/>
    <s v="5100"/>
    <s v="Benefits"/>
    <x v="0"/>
    <x v="1"/>
    <n v="11783.2"/>
    <x v="0"/>
  </r>
  <r>
    <d v="2025-03-01T00:00:00"/>
    <x v="2"/>
    <s v="D05"/>
    <x v="4"/>
    <s v="5200"/>
    <s v="Occupancy &amp; Facilities"/>
    <x v="1"/>
    <x v="0"/>
    <n v="4275.9799999999996"/>
    <x v="0"/>
  </r>
  <r>
    <d v="2025-03-01T00:00:00"/>
    <x v="2"/>
    <s v="D05"/>
    <x v="4"/>
    <s v="5200"/>
    <s v="Occupancy &amp; Facilities"/>
    <x v="1"/>
    <x v="1"/>
    <n v="4000"/>
    <x v="0"/>
  </r>
  <r>
    <d v="2025-03-01T00:00:00"/>
    <x v="2"/>
    <s v="D05"/>
    <x v="4"/>
    <s v="5300"/>
    <s v="IT Software &amp; Subscriptions"/>
    <x v="2"/>
    <x v="0"/>
    <n v="4980.54"/>
    <x v="0"/>
  </r>
  <r>
    <d v="2025-03-01T00:00:00"/>
    <x v="2"/>
    <s v="D05"/>
    <x v="4"/>
    <s v="5300"/>
    <s v="IT Software &amp; Subscriptions"/>
    <x v="2"/>
    <x v="1"/>
    <n v="5200"/>
    <x v="0"/>
  </r>
  <r>
    <d v="2025-03-01T00:00:00"/>
    <x v="2"/>
    <s v="D05"/>
    <x v="4"/>
    <s v="5400"/>
    <s v="Marketing &amp; Advertising"/>
    <x v="3"/>
    <x v="0"/>
    <n v="1594.64"/>
    <x v="0"/>
  </r>
  <r>
    <d v="2025-03-01T00:00:00"/>
    <x v="2"/>
    <s v="D05"/>
    <x v="4"/>
    <s v="5400"/>
    <s v="Marketing &amp; Advertising"/>
    <x v="3"/>
    <x v="1"/>
    <n v="1622.4"/>
    <x v="0"/>
  </r>
  <r>
    <d v="2025-03-01T00:00:00"/>
    <x v="2"/>
    <s v="D05"/>
    <x v="4"/>
    <s v="5500"/>
    <s v="Professional Services"/>
    <x v="4"/>
    <x v="0"/>
    <n v="3838.28"/>
    <x v="0"/>
  </r>
  <r>
    <d v="2025-03-01T00:00:00"/>
    <x v="2"/>
    <s v="D05"/>
    <x v="4"/>
    <s v="5500"/>
    <s v="Professional Services"/>
    <x v="4"/>
    <x v="1"/>
    <n v="3640"/>
    <x v="0"/>
  </r>
  <r>
    <d v="2025-03-01T00:00:00"/>
    <x v="2"/>
    <s v="D05"/>
    <x v="4"/>
    <s v="5600"/>
    <s v="Office Supplies"/>
    <x v="5"/>
    <x v="0"/>
    <n v="612.86"/>
    <x v="0"/>
  </r>
  <r>
    <d v="2025-03-01T00:00:00"/>
    <x v="2"/>
    <s v="D05"/>
    <x v="4"/>
    <s v="5600"/>
    <s v="Office Supplies"/>
    <x v="5"/>
    <x v="1"/>
    <n v="624"/>
    <x v="0"/>
  </r>
  <r>
    <d v="2025-03-01T00:00:00"/>
    <x v="2"/>
    <s v="D05"/>
    <x v="4"/>
    <s v="5700"/>
    <s v="Training &amp; Development"/>
    <x v="5"/>
    <x v="0"/>
    <n v="1639.76"/>
    <x v="0"/>
  </r>
  <r>
    <d v="2025-03-01T00:00:00"/>
    <x v="2"/>
    <s v="D05"/>
    <x v="4"/>
    <s v="5700"/>
    <s v="Training &amp; Development"/>
    <x v="5"/>
    <x v="1"/>
    <n v="1664"/>
    <x v="0"/>
  </r>
  <r>
    <d v="2025-04-01T00:00:00"/>
    <x v="3"/>
    <s v="D01"/>
    <x v="0"/>
    <s v="5000"/>
    <s v="Salaries"/>
    <x v="0"/>
    <x v="0"/>
    <n v="201635.54"/>
    <x v="0"/>
  </r>
  <r>
    <d v="2025-04-01T00:00:00"/>
    <x v="3"/>
    <s v="D01"/>
    <x v="0"/>
    <s v="5000"/>
    <s v="Salaries"/>
    <x v="0"/>
    <x v="1"/>
    <n v="200850"/>
    <x v="0"/>
  </r>
  <r>
    <d v="2025-04-01T00:00:00"/>
    <x v="3"/>
    <s v="D01"/>
    <x v="0"/>
    <s v="5100"/>
    <s v="Benefits"/>
    <x v="0"/>
    <x v="0"/>
    <n v="41993.05"/>
    <x v="0"/>
  </r>
  <r>
    <d v="2025-04-01T00:00:00"/>
    <x v="3"/>
    <s v="D01"/>
    <x v="0"/>
    <s v="5100"/>
    <s v="Benefits"/>
    <x v="0"/>
    <x v="1"/>
    <n v="44187"/>
    <x v="0"/>
  </r>
  <r>
    <d v="2025-04-01T00:00:00"/>
    <x v="3"/>
    <s v="D01"/>
    <x v="0"/>
    <s v="5200"/>
    <s v="Occupancy &amp; Facilities"/>
    <x v="1"/>
    <x v="0"/>
    <n v="38334.32"/>
    <x v="0"/>
  </r>
  <r>
    <d v="2025-04-01T00:00:00"/>
    <x v="3"/>
    <s v="D01"/>
    <x v="0"/>
    <s v="5200"/>
    <s v="Occupancy &amp; Facilities"/>
    <x v="1"/>
    <x v="1"/>
    <n v="38000"/>
    <x v="0"/>
  </r>
  <r>
    <d v="2025-04-01T00:00:00"/>
    <x v="3"/>
    <s v="D01"/>
    <x v="0"/>
    <s v="5300"/>
    <s v="IT Software &amp; Subscriptions"/>
    <x v="2"/>
    <x v="0"/>
    <n v="11876.16"/>
    <x v="0"/>
  </r>
  <r>
    <d v="2025-04-01T00:00:00"/>
    <x v="3"/>
    <s v="D01"/>
    <x v="0"/>
    <s v="5300"/>
    <s v="IT Software &amp; Subscriptions"/>
    <x v="2"/>
    <x v="1"/>
    <n v="12480"/>
    <x v="0"/>
  </r>
  <r>
    <d v="2025-04-01T00:00:00"/>
    <x v="3"/>
    <s v="D01"/>
    <x v="0"/>
    <s v="5400"/>
    <s v="Marketing &amp; Advertising"/>
    <x v="3"/>
    <x v="0"/>
    <n v="4307.3"/>
    <x v="0"/>
  </r>
  <r>
    <d v="2025-04-01T00:00:00"/>
    <x v="3"/>
    <s v="D01"/>
    <x v="0"/>
    <s v="5400"/>
    <s v="Marketing &amp; Advertising"/>
    <x v="3"/>
    <x v="1"/>
    <n v="4160"/>
    <x v="0"/>
  </r>
  <r>
    <d v="2025-04-01T00:00:00"/>
    <x v="3"/>
    <s v="D01"/>
    <x v="0"/>
    <s v="5500"/>
    <s v="Professional Services"/>
    <x v="4"/>
    <x v="0"/>
    <n v="5200.66"/>
    <x v="0"/>
  </r>
  <r>
    <d v="2025-04-01T00:00:00"/>
    <x v="3"/>
    <s v="D01"/>
    <x v="0"/>
    <s v="5500"/>
    <s v="Professional Services"/>
    <x v="4"/>
    <x v="1"/>
    <n v="5200"/>
    <x v="0"/>
  </r>
  <r>
    <d v="2025-04-01T00:00:00"/>
    <x v="3"/>
    <s v="D01"/>
    <x v="0"/>
    <s v="5600"/>
    <s v="Office Supplies"/>
    <x v="5"/>
    <x v="0"/>
    <n v="1702.49"/>
    <x v="0"/>
  </r>
  <r>
    <d v="2025-04-01T00:00:00"/>
    <x v="3"/>
    <s v="D01"/>
    <x v="0"/>
    <s v="5600"/>
    <s v="Office Supplies"/>
    <x v="5"/>
    <x v="1"/>
    <n v="1560"/>
    <x v="0"/>
  </r>
  <r>
    <d v="2025-04-01T00:00:00"/>
    <x v="3"/>
    <s v="D01"/>
    <x v="0"/>
    <s v="5700"/>
    <s v="Training &amp; Development"/>
    <x v="5"/>
    <x v="0"/>
    <n v="1262.02"/>
    <x v="0"/>
  </r>
  <r>
    <d v="2025-04-01T00:00:00"/>
    <x v="3"/>
    <s v="D01"/>
    <x v="0"/>
    <s v="5700"/>
    <s v="Training &amp; Development"/>
    <x v="5"/>
    <x v="1"/>
    <n v="1248"/>
    <x v="0"/>
  </r>
  <r>
    <d v="2025-04-01T00:00:00"/>
    <x v="3"/>
    <s v="D02"/>
    <x v="1"/>
    <s v="5000"/>
    <s v="Salaries"/>
    <x v="0"/>
    <x v="0"/>
    <n v="182492.76"/>
    <x v="0"/>
  </r>
  <r>
    <d v="2025-04-01T00:00:00"/>
    <x v="3"/>
    <s v="D02"/>
    <x v="1"/>
    <s v="5000"/>
    <s v="Salaries"/>
    <x v="0"/>
    <x v="1"/>
    <n v="173040"/>
    <x v="0"/>
  </r>
  <r>
    <d v="2025-04-01T00:00:00"/>
    <x v="3"/>
    <s v="D02"/>
    <x v="1"/>
    <s v="5100"/>
    <s v="Benefits"/>
    <x v="0"/>
    <x v="0"/>
    <n v="36084.25"/>
    <x v="0"/>
  </r>
  <r>
    <d v="2025-04-01T00:00:00"/>
    <x v="3"/>
    <s v="D02"/>
    <x v="1"/>
    <s v="5100"/>
    <s v="Benefits"/>
    <x v="0"/>
    <x v="1"/>
    <n v="38068.800000000003"/>
    <x v="0"/>
  </r>
  <r>
    <d v="2025-04-01T00:00:00"/>
    <x v="3"/>
    <s v="D02"/>
    <x v="1"/>
    <s v="5200"/>
    <s v="Occupancy &amp; Facilities"/>
    <x v="1"/>
    <x v="0"/>
    <n v="15921.83"/>
    <x v="0"/>
  </r>
  <r>
    <d v="2025-04-01T00:00:00"/>
    <x v="3"/>
    <s v="D02"/>
    <x v="1"/>
    <s v="5200"/>
    <s v="Occupancy &amp; Facilities"/>
    <x v="1"/>
    <x v="1"/>
    <n v="16000"/>
    <x v="0"/>
  </r>
  <r>
    <d v="2025-04-01T00:00:00"/>
    <x v="3"/>
    <s v="D02"/>
    <x v="1"/>
    <s v="5300"/>
    <s v="IT Software &amp; Subscriptions"/>
    <x v="2"/>
    <x v="0"/>
    <n v="9480.99"/>
    <x v="0"/>
  </r>
  <r>
    <d v="2025-04-01T00:00:00"/>
    <x v="3"/>
    <s v="D02"/>
    <x v="1"/>
    <s v="5300"/>
    <s v="IT Software &amp; Subscriptions"/>
    <x v="2"/>
    <x v="1"/>
    <n v="9360"/>
    <x v="0"/>
  </r>
  <r>
    <d v="2025-04-01T00:00:00"/>
    <x v="3"/>
    <s v="D02"/>
    <x v="1"/>
    <s v="5400"/>
    <s v="Marketing &amp; Advertising"/>
    <x v="3"/>
    <x v="0"/>
    <n v="6675.73"/>
    <x v="0"/>
  </r>
  <r>
    <d v="2025-04-01T00:00:00"/>
    <x v="3"/>
    <s v="D02"/>
    <x v="1"/>
    <s v="5400"/>
    <s v="Marketing &amp; Advertising"/>
    <x v="3"/>
    <x v="1"/>
    <n v="6240"/>
    <x v="0"/>
  </r>
  <r>
    <d v="2025-04-01T00:00:00"/>
    <x v="3"/>
    <s v="D02"/>
    <x v="1"/>
    <s v="5500"/>
    <s v="Professional Services"/>
    <x v="4"/>
    <x v="0"/>
    <n v="7760.59"/>
    <x v="0"/>
  </r>
  <r>
    <d v="2025-04-01T00:00:00"/>
    <x v="3"/>
    <s v="D02"/>
    <x v="1"/>
    <s v="5500"/>
    <s v="Professional Services"/>
    <x v="4"/>
    <x v="1"/>
    <n v="8320"/>
    <x v="0"/>
  </r>
  <r>
    <d v="2025-04-01T00:00:00"/>
    <x v="3"/>
    <s v="D02"/>
    <x v="1"/>
    <s v="5600"/>
    <s v="Office Supplies"/>
    <x v="5"/>
    <x v="0"/>
    <n v="973.09"/>
    <x v="0"/>
  </r>
  <r>
    <d v="2025-04-01T00:00:00"/>
    <x v="3"/>
    <s v="D02"/>
    <x v="1"/>
    <s v="5600"/>
    <s v="Office Supplies"/>
    <x v="5"/>
    <x v="1"/>
    <n v="936"/>
    <x v="0"/>
  </r>
  <r>
    <d v="2025-04-01T00:00:00"/>
    <x v="3"/>
    <s v="D02"/>
    <x v="1"/>
    <s v="5700"/>
    <s v="Training &amp; Development"/>
    <x v="5"/>
    <x v="0"/>
    <n v="1490.44"/>
    <x v="0"/>
  </r>
  <r>
    <d v="2025-04-01T00:00:00"/>
    <x v="3"/>
    <s v="D02"/>
    <x v="1"/>
    <s v="5700"/>
    <s v="Training &amp; Development"/>
    <x v="5"/>
    <x v="1"/>
    <n v="1456"/>
    <x v="0"/>
  </r>
  <r>
    <d v="2025-04-01T00:00:00"/>
    <x v="3"/>
    <s v="D03"/>
    <x v="2"/>
    <s v="5000"/>
    <s v="Salaries"/>
    <x v="0"/>
    <x v="0"/>
    <n v="160697.76999999999"/>
    <x v="0"/>
  </r>
  <r>
    <d v="2025-04-01T00:00:00"/>
    <x v="3"/>
    <s v="D03"/>
    <x v="2"/>
    <s v="5000"/>
    <s v="Salaries"/>
    <x v="0"/>
    <x v="1"/>
    <n v="151410"/>
    <x v="0"/>
  </r>
  <r>
    <d v="2025-04-01T00:00:00"/>
    <x v="3"/>
    <s v="D03"/>
    <x v="2"/>
    <s v="5100"/>
    <s v="Benefits"/>
    <x v="0"/>
    <x v="0"/>
    <n v="34259.39"/>
    <x v="0"/>
  </r>
  <r>
    <d v="2025-04-01T00:00:00"/>
    <x v="3"/>
    <s v="D03"/>
    <x v="2"/>
    <s v="5100"/>
    <s v="Benefits"/>
    <x v="0"/>
    <x v="1"/>
    <n v="33310.199999999997"/>
    <x v="0"/>
  </r>
  <r>
    <d v="2025-04-01T00:00:00"/>
    <x v="3"/>
    <s v="D03"/>
    <x v="2"/>
    <s v="5200"/>
    <s v="Occupancy &amp; Facilities"/>
    <x v="1"/>
    <x v="0"/>
    <n v="9018.75"/>
    <x v="0"/>
  </r>
  <r>
    <d v="2025-04-01T00:00:00"/>
    <x v="3"/>
    <s v="D03"/>
    <x v="2"/>
    <s v="5200"/>
    <s v="Occupancy &amp; Facilities"/>
    <x v="1"/>
    <x v="1"/>
    <n v="9000"/>
    <x v="0"/>
  </r>
  <r>
    <d v="2025-04-01T00:00:00"/>
    <x v="3"/>
    <s v="D03"/>
    <x v="2"/>
    <s v="5300"/>
    <s v="IT Software &amp; Subscriptions"/>
    <x v="2"/>
    <x v="0"/>
    <n v="67768.570000000007"/>
    <x v="0"/>
  </r>
  <r>
    <d v="2025-04-01T00:00:00"/>
    <x v="3"/>
    <s v="D03"/>
    <x v="2"/>
    <s v="5300"/>
    <s v="IT Software &amp; Subscriptions"/>
    <x v="2"/>
    <x v="1"/>
    <n v="43680"/>
    <x v="0"/>
  </r>
  <r>
    <d v="2025-04-01T00:00:00"/>
    <x v="3"/>
    <s v="D03"/>
    <x v="2"/>
    <s v="5400"/>
    <s v="Marketing &amp; Advertising"/>
    <x v="3"/>
    <x v="0"/>
    <n v="1482.11"/>
    <x v="0"/>
  </r>
  <r>
    <d v="2025-04-01T00:00:00"/>
    <x v="3"/>
    <s v="D03"/>
    <x v="2"/>
    <s v="5400"/>
    <s v="Marketing &amp; Advertising"/>
    <x v="3"/>
    <x v="1"/>
    <n v="1560"/>
    <x v="0"/>
  </r>
  <r>
    <d v="2025-04-01T00:00:00"/>
    <x v="3"/>
    <s v="D03"/>
    <x v="2"/>
    <s v="5500"/>
    <s v="Professional Services"/>
    <x v="4"/>
    <x v="0"/>
    <n v="12577.56"/>
    <x v="0"/>
  </r>
  <r>
    <d v="2025-04-01T00:00:00"/>
    <x v="3"/>
    <s v="D03"/>
    <x v="2"/>
    <s v="5500"/>
    <s v="Professional Services"/>
    <x v="4"/>
    <x v="1"/>
    <n v="12480"/>
    <x v="0"/>
  </r>
  <r>
    <d v="2025-04-01T00:00:00"/>
    <x v="3"/>
    <s v="D03"/>
    <x v="2"/>
    <s v="5600"/>
    <s v="Office Supplies"/>
    <x v="5"/>
    <x v="0"/>
    <n v="825.62"/>
    <x v="0"/>
  </r>
  <r>
    <d v="2025-04-01T00:00:00"/>
    <x v="3"/>
    <s v="D03"/>
    <x v="2"/>
    <s v="5600"/>
    <s v="Office Supplies"/>
    <x v="5"/>
    <x v="1"/>
    <n v="832"/>
    <x v="0"/>
  </r>
  <r>
    <d v="2025-04-01T00:00:00"/>
    <x v="3"/>
    <s v="D03"/>
    <x v="2"/>
    <s v="5700"/>
    <s v="Training &amp; Development"/>
    <x v="5"/>
    <x v="0"/>
    <n v="2023.28"/>
    <x v="0"/>
  </r>
  <r>
    <d v="2025-04-01T00:00:00"/>
    <x v="3"/>
    <s v="D03"/>
    <x v="2"/>
    <s v="5700"/>
    <s v="Training &amp; Development"/>
    <x v="5"/>
    <x v="1"/>
    <n v="1872"/>
    <x v="0"/>
  </r>
  <r>
    <d v="2025-04-01T00:00:00"/>
    <x v="3"/>
    <s v="D04"/>
    <x v="3"/>
    <s v="5000"/>
    <s v="Salaries"/>
    <x v="0"/>
    <x v="0"/>
    <n v="62801.61"/>
    <x v="0"/>
  </r>
  <r>
    <d v="2025-04-01T00:00:00"/>
    <x v="3"/>
    <s v="D04"/>
    <x v="3"/>
    <s v="5000"/>
    <s v="Salaries"/>
    <x v="0"/>
    <x v="1"/>
    <n v="64375"/>
    <x v="0"/>
  </r>
  <r>
    <d v="2025-04-01T00:00:00"/>
    <x v="3"/>
    <s v="D04"/>
    <x v="3"/>
    <s v="5100"/>
    <s v="Benefits"/>
    <x v="0"/>
    <x v="0"/>
    <n v="14344"/>
    <x v="0"/>
  </r>
  <r>
    <d v="2025-04-01T00:00:00"/>
    <x v="3"/>
    <s v="D04"/>
    <x v="3"/>
    <s v="5100"/>
    <s v="Benefits"/>
    <x v="0"/>
    <x v="1"/>
    <n v="14162.5"/>
    <x v="0"/>
  </r>
  <r>
    <d v="2025-04-01T00:00:00"/>
    <x v="3"/>
    <s v="D04"/>
    <x v="3"/>
    <s v="5200"/>
    <s v="Occupancy &amp; Facilities"/>
    <x v="1"/>
    <x v="0"/>
    <n v="5623.44"/>
    <x v="0"/>
  </r>
  <r>
    <d v="2025-04-01T00:00:00"/>
    <x v="3"/>
    <s v="D04"/>
    <x v="3"/>
    <s v="5200"/>
    <s v="Occupancy &amp; Facilities"/>
    <x v="1"/>
    <x v="1"/>
    <n v="6000"/>
    <x v="0"/>
  </r>
  <r>
    <d v="2025-04-01T00:00:00"/>
    <x v="3"/>
    <s v="D04"/>
    <x v="3"/>
    <s v="5300"/>
    <s v="IT Software &amp; Subscriptions"/>
    <x v="2"/>
    <x v="0"/>
    <n v="7164.84"/>
    <x v="0"/>
  </r>
  <r>
    <d v="2025-04-01T00:00:00"/>
    <x v="3"/>
    <s v="D04"/>
    <x v="3"/>
    <s v="5300"/>
    <s v="IT Software &amp; Subscriptions"/>
    <x v="2"/>
    <x v="1"/>
    <n v="7280"/>
    <x v="0"/>
  </r>
  <r>
    <d v="2025-04-01T00:00:00"/>
    <x v="3"/>
    <s v="D04"/>
    <x v="3"/>
    <s v="5400"/>
    <s v="Marketing &amp; Advertising"/>
    <x v="3"/>
    <x v="0"/>
    <n v="29424.19"/>
    <x v="0"/>
  </r>
  <r>
    <d v="2025-04-01T00:00:00"/>
    <x v="3"/>
    <s v="D04"/>
    <x v="3"/>
    <s v="5400"/>
    <s v="Marketing &amp; Advertising"/>
    <x v="3"/>
    <x v="1"/>
    <n v="29120"/>
    <x v="0"/>
  </r>
  <r>
    <d v="2025-04-01T00:00:00"/>
    <x v="3"/>
    <s v="D04"/>
    <x v="3"/>
    <s v="5500"/>
    <s v="Professional Services"/>
    <x v="4"/>
    <x v="0"/>
    <n v="6445.66"/>
    <x v="0"/>
  </r>
  <r>
    <d v="2025-04-01T00:00:00"/>
    <x v="3"/>
    <s v="D04"/>
    <x v="3"/>
    <s v="5500"/>
    <s v="Professional Services"/>
    <x v="4"/>
    <x v="1"/>
    <n v="6240"/>
    <x v="0"/>
  </r>
  <r>
    <d v="2025-04-01T00:00:00"/>
    <x v="3"/>
    <s v="D04"/>
    <x v="3"/>
    <s v="5600"/>
    <s v="Office Supplies"/>
    <x v="5"/>
    <x v="0"/>
    <n v="770.17"/>
    <x v="0"/>
  </r>
  <r>
    <d v="2025-04-01T00:00:00"/>
    <x v="3"/>
    <s v="D04"/>
    <x v="3"/>
    <s v="5600"/>
    <s v="Office Supplies"/>
    <x v="5"/>
    <x v="1"/>
    <n v="728"/>
    <x v="0"/>
  </r>
  <r>
    <d v="2025-04-01T00:00:00"/>
    <x v="3"/>
    <s v="D04"/>
    <x v="3"/>
    <s v="5700"/>
    <s v="Training &amp; Development"/>
    <x v="5"/>
    <x v="0"/>
    <n v="1141.98"/>
    <x v="0"/>
  </r>
  <r>
    <d v="2025-04-01T00:00:00"/>
    <x v="3"/>
    <s v="D04"/>
    <x v="3"/>
    <s v="5700"/>
    <s v="Training &amp; Development"/>
    <x v="5"/>
    <x v="1"/>
    <n v="1144"/>
    <x v="0"/>
  </r>
  <r>
    <d v="2025-04-01T00:00:00"/>
    <x v="3"/>
    <s v="D05"/>
    <x v="4"/>
    <s v="5000"/>
    <s v="Salaries"/>
    <x v="0"/>
    <x v="0"/>
    <n v="51166.41"/>
    <x v="0"/>
  </r>
  <r>
    <d v="2025-04-01T00:00:00"/>
    <x v="3"/>
    <s v="D05"/>
    <x v="4"/>
    <s v="5000"/>
    <s v="Salaries"/>
    <x v="0"/>
    <x v="1"/>
    <n v="53560"/>
    <x v="0"/>
  </r>
  <r>
    <d v="2025-04-01T00:00:00"/>
    <x v="3"/>
    <s v="D05"/>
    <x v="4"/>
    <s v="5100"/>
    <s v="Benefits"/>
    <x v="0"/>
    <x v="0"/>
    <n v="11999"/>
    <x v="0"/>
  </r>
  <r>
    <d v="2025-04-01T00:00:00"/>
    <x v="3"/>
    <s v="D05"/>
    <x v="4"/>
    <s v="5100"/>
    <s v="Benefits"/>
    <x v="0"/>
    <x v="1"/>
    <n v="11783.2"/>
    <x v="0"/>
  </r>
  <r>
    <d v="2025-04-01T00:00:00"/>
    <x v="3"/>
    <s v="D05"/>
    <x v="4"/>
    <s v="5200"/>
    <s v="Occupancy &amp; Facilities"/>
    <x v="1"/>
    <x v="0"/>
    <n v="4082.72"/>
    <x v="0"/>
  </r>
  <r>
    <d v="2025-04-01T00:00:00"/>
    <x v="3"/>
    <s v="D05"/>
    <x v="4"/>
    <s v="5200"/>
    <s v="Occupancy &amp; Facilities"/>
    <x v="1"/>
    <x v="1"/>
    <n v="4000"/>
    <x v="0"/>
  </r>
  <r>
    <d v="2025-04-01T00:00:00"/>
    <x v="3"/>
    <s v="D05"/>
    <x v="4"/>
    <s v="5300"/>
    <s v="IT Software &amp; Subscriptions"/>
    <x v="2"/>
    <x v="0"/>
    <n v="5302.26"/>
    <x v="0"/>
  </r>
  <r>
    <d v="2025-04-01T00:00:00"/>
    <x v="3"/>
    <s v="D05"/>
    <x v="4"/>
    <s v="5300"/>
    <s v="IT Software &amp; Subscriptions"/>
    <x v="2"/>
    <x v="1"/>
    <n v="5200"/>
    <x v="0"/>
  </r>
  <r>
    <d v="2025-04-01T00:00:00"/>
    <x v="3"/>
    <s v="D05"/>
    <x v="4"/>
    <s v="5400"/>
    <s v="Marketing &amp; Advertising"/>
    <x v="3"/>
    <x v="0"/>
    <n v="1213.04"/>
    <x v="0"/>
  </r>
  <r>
    <d v="2025-04-01T00:00:00"/>
    <x v="3"/>
    <s v="D05"/>
    <x v="4"/>
    <s v="5400"/>
    <s v="Marketing &amp; Advertising"/>
    <x v="3"/>
    <x v="1"/>
    <n v="1248"/>
    <x v="0"/>
  </r>
  <r>
    <d v="2025-04-01T00:00:00"/>
    <x v="3"/>
    <s v="D05"/>
    <x v="4"/>
    <s v="5500"/>
    <s v="Professional Services"/>
    <x v="4"/>
    <x v="0"/>
    <n v="3805.02"/>
    <x v="0"/>
  </r>
  <r>
    <d v="2025-04-01T00:00:00"/>
    <x v="3"/>
    <s v="D05"/>
    <x v="4"/>
    <s v="5500"/>
    <s v="Professional Services"/>
    <x v="4"/>
    <x v="1"/>
    <n v="3640"/>
    <x v="0"/>
  </r>
  <r>
    <d v="2025-04-01T00:00:00"/>
    <x v="3"/>
    <s v="D05"/>
    <x v="4"/>
    <s v="5600"/>
    <s v="Office Supplies"/>
    <x v="5"/>
    <x v="0"/>
    <n v="626.19000000000005"/>
    <x v="0"/>
  </r>
  <r>
    <d v="2025-04-01T00:00:00"/>
    <x v="3"/>
    <s v="D05"/>
    <x v="4"/>
    <s v="5600"/>
    <s v="Office Supplies"/>
    <x v="5"/>
    <x v="1"/>
    <n v="624"/>
    <x v="0"/>
  </r>
  <r>
    <d v="2025-04-01T00:00:00"/>
    <x v="3"/>
    <s v="D05"/>
    <x v="4"/>
    <s v="5700"/>
    <s v="Training &amp; Development"/>
    <x v="5"/>
    <x v="0"/>
    <n v="1710.58"/>
    <x v="0"/>
  </r>
  <r>
    <d v="2025-04-01T00:00:00"/>
    <x v="3"/>
    <s v="D05"/>
    <x v="4"/>
    <s v="5700"/>
    <s v="Training &amp; Development"/>
    <x v="5"/>
    <x v="1"/>
    <n v="1664"/>
    <x v="0"/>
  </r>
  <r>
    <d v="2025-05-01T00:00:00"/>
    <x v="4"/>
    <s v="D01"/>
    <x v="0"/>
    <s v="5000"/>
    <s v="Salaries"/>
    <x v="0"/>
    <x v="0"/>
    <n v="211085.9"/>
    <x v="0"/>
  </r>
  <r>
    <d v="2025-05-01T00:00:00"/>
    <x v="4"/>
    <s v="D01"/>
    <x v="0"/>
    <s v="5000"/>
    <s v="Salaries"/>
    <x v="0"/>
    <x v="1"/>
    <n v="200850"/>
    <x v="0"/>
  </r>
  <r>
    <d v="2025-05-01T00:00:00"/>
    <x v="4"/>
    <s v="D01"/>
    <x v="0"/>
    <s v="5100"/>
    <s v="Benefits"/>
    <x v="0"/>
    <x v="0"/>
    <n v="45263.88"/>
    <x v="0"/>
  </r>
  <r>
    <d v="2025-05-01T00:00:00"/>
    <x v="4"/>
    <s v="D01"/>
    <x v="0"/>
    <s v="5100"/>
    <s v="Benefits"/>
    <x v="0"/>
    <x v="1"/>
    <n v="44187"/>
    <x v="0"/>
  </r>
  <r>
    <d v="2025-05-01T00:00:00"/>
    <x v="4"/>
    <s v="D01"/>
    <x v="0"/>
    <s v="5200"/>
    <s v="Occupancy &amp; Facilities"/>
    <x v="1"/>
    <x v="0"/>
    <n v="38435.5"/>
    <x v="0"/>
  </r>
  <r>
    <d v="2025-05-01T00:00:00"/>
    <x v="4"/>
    <s v="D01"/>
    <x v="0"/>
    <s v="5200"/>
    <s v="Occupancy &amp; Facilities"/>
    <x v="1"/>
    <x v="1"/>
    <n v="38000"/>
    <x v="0"/>
  </r>
  <r>
    <d v="2025-05-01T00:00:00"/>
    <x v="4"/>
    <s v="D01"/>
    <x v="0"/>
    <s v="5300"/>
    <s v="IT Software &amp; Subscriptions"/>
    <x v="2"/>
    <x v="0"/>
    <n v="13554.68"/>
    <x v="0"/>
  </r>
  <r>
    <d v="2025-05-01T00:00:00"/>
    <x v="4"/>
    <s v="D01"/>
    <x v="0"/>
    <s v="5300"/>
    <s v="IT Software &amp; Subscriptions"/>
    <x v="2"/>
    <x v="1"/>
    <n v="12480"/>
    <x v="0"/>
  </r>
  <r>
    <d v="2025-05-01T00:00:00"/>
    <x v="4"/>
    <s v="D01"/>
    <x v="0"/>
    <s v="5400"/>
    <s v="Marketing &amp; Advertising"/>
    <x v="3"/>
    <x v="0"/>
    <n v="4200.55"/>
    <x v="0"/>
  </r>
  <r>
    <d v="2025-05-01T00:00:00"/>
    <x v="4"/>
    <s v="D01"/>
    <x v="0"/>
    <s v="5400"/>
    <s v="Marketing &amp; Advertising"/>
    <x v="3"/>
    <x v="1"/>
    <n v="4160"/>
    <x v="0"/>
  </r>
  <r>
    <d v="2025-05-01T00:00:00"/>
    <x v="4"/>
    <s v="D01"/>
    <x v="0"/>
    <s v="5500"/>
    <s v="Professional Services"/>
    <x v="4"/>
    <x v="0"/>
    <n v="5138.4399999999996"/>
    <x v="0"/>
  </r>
  <r>
    <d v="2025-05-01T00:00:00"/>
    <x v="4"/>
    <s v="D01"/>
    <x v="0"/>
    <s v="5500"/>
    <s v="Professional Services"/>
    <x v="4"/>
    <x v="1"/>
    <n v="5200"/>
    <x v="0"/>
  </r>
  <r>
    <d v="2025-05-01T00:00:00"/>
    <x v="4"/>
    <s v="D01"/>
    <x v="0"/>
    <s v="5600"/>
    <s v="Office Supplies"/>
    <x v="5"/>
    <x v="0"/>
    <n v="1566.99"/>
    <x v="0"/>
  </r>
  <r>
    <d v="2025-05-01T00:00:00"/>
    <x v="4"/>
    <s v="D01"/>
    <x v="0"/>
    <s v="5600"/>
    <s v="Office Supplies"/>
    <x v="5"/>
    <x v="1"/>
    <n v="1560"/>
    <x v="0"/>
  </r>
  <r>
    <d v="2025-05-01T00:00:00"/>
    <x v="4"/>
    <s v="D01"/>
    <x v="0"/>
    <s v="5700"/>
    <s v="Training &amp; Development"/>
    <x v="5"/>
    <x v="0"/>
    <n v="1322.02"/>
    <x v="0"/>
  </r>
  <r>
    <d v="2025-05-01T00:00:00"/>
    <x v="4"/>
    <s v="D01"/>
    <x v="0"/>
    <s v="5700"/>
    <s v="Training &amp; Development"/>
    <x v="5"/>
    <x v="1"/>
    <n v="1248"/>
    <x v="0"/>
  </r>
  <r>
    <d v="2025-05-01T00:00:00"/>
    <x v="4"/>
    <s v="D02"/>
    <x v="1"/>
    <s v="5000"/>
    <s v="Salaries"/>
    <x v="0"/>
    <x v="0"/>
    <n v="173861.68"/>
    <x v="0"/>
  </r>
  <r>
    <d v="2025-05-01T00:00:00"/>
    <x v="4"/>
    <s v="D02"/>
    <x v="1"/>
    <s v="5000"/>
    <s v="Salaries"/>
    <x v="0"/>
    <x v="1"/>
    <n v="173040"/>
    <x v="0"/>
  </r>
  <r>
    <d v="2025-05-01T00:00:00"/>
    <x v="4"/>
    <s v="D02"/>
    <x v="1"/>
    <s v="5100"/>
    <s v="Benefits"/>
    <x v="0"/>
    <x v="0"/>
    <n v="38859.68"/>
    <x v="0"/>
  </r>
  <r>
    <d v="2025-05-01T00:00:00"/>
    <x v="4"/>
    <s v="D02"/>
    <x v="1"/>
    <s v="5100"/>
    <s v="Benefits"/>
    <x v="0"/>
    <x v="1"/>
    <n v="38068.800000000003"/>
    <x v="0"/>
  </r>
  <r>
    <d v="2025-05-01T00:00:00"/>
    <x v="4"/>
    <s v="D02"/>
    <x v="1"/>
    <s v="5200"/>
    <s v="Occupancy &amp; Facilities"/>
    <x v="1"/>
    <x v="0"/>
    <n v="16765.27"/>
    <x v="0"/>
  </r>
  <r>
    <d v="2025-05-01T00:00:00"/>
    <x v="4"/>
    <s v="D02"/>
    <x v="1"/>
    <s v="5200"/>
    <s v="Occupancy &amp; Facilities"/>
    <x v="1"/>
    <x v="1"/>
    <n v="16000"/>
    <x v="0"/>
  </r>
  <r>
    <d v="2025-05-01T00:00:00"/>
    <x v="4"/>
    <s v="D02"/>
    <x v="1"/>
    <s v="5300"/>
    <s v="IT Software &amp; Subscriptions"/>
    <x v="2"/>
    <x v="0"/>
    <n v="9167.99"/>
    <x v="0"/>
  </r>
  <r>
    <d v="2025-05-01T00:00:00"/>
    <x v="4"/>
    <s v="D02"/>
    <x v="1"/>
    <s v="5300"/>
    <s v="IT Software &amp; Subscriptions"/>
    <x v="2"/>
    <x v="1"/>
    <n v="9360"/>
    <x v="0"/>
  </r>
  <r>
    <d v="2025-05-01T00:00:00"/>
    <x v="4"/>
    <s v="D02"/>
    <x v="1"/>
    <s v="5400"/>
    <s v="Marketing &amp; Advertising"/>
    <x v="3"/>
    <x v="0"/>
    <n v="5809.05"/>
    <x v="0"/>
  </r>
  <r>
    <d v="2025-05-01T00:00:00"/>
    <x v="4"/>
    <s v="D02"/>
    <x v="1"/>
    <s v="5400"/>
    <s v="Marketing &amp; Advertising"/>
    <x v="3"/>
    <x v="1"/>
    <n v="6240"/>
    <x v="0"/>
  </r>
  <r>
    <d v="2025-05-01T00:00:00"/>
    <x v="4"/>
    <s v="D02"/>
    <x v="1"/>
    <s v="5500"/>
    <s v="Professional Services"/>
    <x v="4"/>
    <x v="0"/>
    <n v="8419.65"/>
    <x v="0"/>
  </r>
  <r>
    <d v="2025-05-01T00:00:00"/>
    <x v="4"/>
    <s v="D02"/>
    <x v="1"/>
    <s v="5500"/>
    <s v="Professional Services"/>
    <x v="4"/>
    <x v="1"/>
    <n v="8320"/>
    <x v="0"/>
  </r>
  <r>
    <d v="2025-05-01T00:00:00"/>
    <x v="4"/>
    <s v="D02"/>
    <x v="1"/>
    <s v="5600"/>
    <s v="Office Supplies"/>
    <x v="5"/>
    <x v="0"/>
    <n v="944.6"/>
    <x v="0"/>
  </r>
  <r>
    <d v="2025-05-01T00:00:00"/>
    <x v="4"/>
    <s v="D02"/>
    <x v="1"/>
    <s v="5600"/>
    <s v="Office Supplies"/>
    <x v="5"/>
    <x v="1"/>
    <n v="936"/>
    <x v="0"/>
  </r>
  <r>
    <d v="2025-05-01T00:00:00"/>
    <x v="4"/>
    <s v="D02"/>
    <x v="1"/>
    <s v="5700"/>
    <s v="Training &amp; Development"/>
    <x v="5"/>
    <x v="0"/>
    <n v="1420.59"/>
    <x v="0"/>
  </r>
  <r>
    <d v="2025-05-01T00:00:00"/>
    <x v="4"/>
    <s v="D02"/>
    <x v="1"/>
    <s v="5700"/>
    <s v="Training &amp; Development"/>
    <x v="5"/>
    <x v="1"/>
    <n v="1456"/>
    <x v="0"/>
  </r>
  <r>
    <d v="2025-05-01T00:00:00"/>
    <x v="4"/>
    <s v="D03"/>
    <x v="2"/>
    <s v="5000"/>
    <s v="Salaries"/>
    <x v="0"/>
    <x v="0"/>
    <n v="156685.65"/>
    <x v="0"/>
  </r>
  <r>
    <d v="2025-05-01T00:00:00"/>
    <x v="4"/>
    <s v="D03"/>
    <x v="2"/>
    <s v="5000"/>
    <s v="Salaries"/>
    <x v="0"/>
    <x v="1"/>
    <n v="151410"/>
    <x v="0"/>
  </r>
  <r>
    <d v="2025-05-01T00:00:00"/>
    <x v="4"/>
    <s v="D03"/>
    <x v="2"/>
    <s v="5100"/>
    <s v="Benefits"/>
    <x v="0"/>
    <x v="0"/>
    <n v="34119.730000000003"/>
    <x v="0"/>
  </r>
  <r>
    <d v="2025-05-01T00:00:00"/>
    <x v="4"/>
    <s v="D03"/>
    <x v="2"/>
    <s v="5100"/>
    <s v="Benefits"/>
    <x v="0"/>
    <x v="1"/>
    <n v="33310.199999999997"/>
    <x v="0"/>
  </r>
  <r>
    <d v="2025-05-01T00:00:00"/>
    <x v="4"/>
    <s v="D03"/>
    <x v="2"/>
    <s v="5200"/>
    <s v="Occupancy &amp; Facilities"/>
    <x v="1"/>
    <x v="0"/>
    <n v="8641.7999999999993"/>
    <x v="0"/>
  </r>
  <r>
    <d v="2025-05-01T00:00:00"/>
    <x v="4"/>
    <s v="D03"/>
    <x v="2"/>
    <s v="5200"/>
    <s v="Occupancy &amp; Facilities"/>
    <x v="1"/>
    <x v="1"/>
    <n v="9000"/>
    <x v="0"/>
  </r>
  <r>
    <d v="2025-05-01T00:00:00"/>
    <x v="4"/>
    <s v="D03"/>
    <x v="2"/>
    <s v="5300"/>
    <s v="IT Software &amp; Subscriptions"/>
    <x v="2"/>
    <x v="0"/>
    <n v="44585.43"/>
    <x v="0"/>
  </r>
  <r>
    <d v="2025-05-01T00:00:00"/>
    <x v="4"/>
    <s v="D03"/>
    <x v="2"/>
    <s v="5300"/>
    <s v="IT Software &amp; Subscriptions"/>
    <x v="2"/>
    <x v="1"/>
    <n v="43680"/>
    <x v="0"/>
  </r>
  <r>
    <d v="2025-05-01T00:00:00"/>
    <x v="4"/>
    <s v="D03"/>
    <x v="2"/>
    <s v="5400"/>
    <s v="Marketing &amp; Advertising"/>
    <x v="3"/>
    <x v="0"/>
    <n v="1547.76"/>
    <x v="0"/>
  </r>
  <r>
    <d v="2025-05-01T00:00:00"/>
    <x v="4"/>
    <s v="D03"/>
    <x v="2"/>
    <s v="5400"/>
    <s v="Marketing &amp; Advertising"/>
    <x v="3"/>
    <x v="1"/>
    <n v="1560"/>
    <x v="0"/>
  </r>
  <r>
    <d v="2025-05-01T00:00:00"/>
    <x v="4"/>
    <s v="D03"/>
    <x v="2"/>
    <s v="5500"/>
    <s v="Professional Services"/>
    <x v="4"/>
    <x v="0"/>
    <n v="11739.67"/>
    <x v="0"/>
  </r>
  <r>
    <d v="2025-05-01T00:00:00"/>
    <x v="4"/>
    <s v="D03"/>
    <x v="2"/>
    <s v="5500"/>
    <s v="Professional Services"/>
    <x v="4"/>
    <x v="1"/>
    <n v="12480"/>
    <x v="0"/>
  </r>
  <r>
    <d v="2025-05-01T00:00:00"/>
    <x v="4"/>
    <s v="D03"/>
    <x v="2"/>
    <s v="5600"/>
    <s v="Office Supplies"/>
    <x v="5"/>
    <x v="0"/>
    <n v="847.07"/>
    <x v="0"/>
  </r>
  <r>
    <d v="2025-05-01T00:00:00"/>
    <x v="4"/>
    <s v="D03"/>
    <x v="2"/>
    <s v="5600"/>
    <s v="Office Supplies"/>
    <x v="5"/>
    <x v="1"/>
    <n v="832"/>
    <x v="0"/>
  </r>
  <r>
    <d v="2025-05-01T00:00:00"/>
    <x v="4"/>
    <s v="D03"/>
    <x v="2"/>
    <s v="5700"/>
    <s v="Training &amp; Development"/>
    <x v="5"/>
    <x v="0"/>
    <n v="1868.61"/>
    <x v="0"/>
  </r>
  <r>
    <d v="2025-05-01T00:00:00"/>
    <x v="4"/>
    <s v="D03"/>
    <x v="2"/>
    <s v="5700"/>
    <s v="Training &amp; Development"/>
    <x v="5"/>
    <x v="1"/>
    <n v="1872"/>
    <x v="0"/>
  </r>
  <r>
    <d v="2025-05-01T00:00:00"/>
    <x v="4"/>
    <s v="D04"/>
    <x v="3"/>
    <s v="5000"/>
    <s v="Salaries"/>
    <x v="0"/>
    <x v="0"/>
    <n v="62455.9"/>
    <x v="0"/>
  </r>
  <r>
    <d v="2025-05-01T00:00:00"/>
    <x v="4"/>
    <s v="D04"/>
    <x v="3"/>
    <s v="5000"/>
    <s v="Salaries"/>
    <x v="0"/>
    <x v="1"/>
    <n v="64375"/>
    <x v="0"/>
  </r>
  <r>
    <d v="2025-05-01T00:00:00"/>
    <x v="4"/>
    <s v="D04"/>
    <x v="3"/>
    <s v="5100"/>
    <s v="Benefits"/>
    <x v="0"/>
    <x v="0"/>
    <n v="14458.75"/>
    <x v="0"/>
  </r>
  <r>
    <d v="2025-05-01T00:00:00"/>
    <x v="4"/>
    <s v="D04"/>
    <x v="3"/>
    <s v="5100"/>
    <s v="Benefits"/>
    <x v="0"/>
    <x v="1"/>
    <n v="14162.5"/>
    <x v="0"/>
  </r>
  <r>
    <d v="2025-05-01T00:00:00"/>
    <x v="4"/>
    <s v="D04"/>
    <x v="3"/>
    <s v="5200"/>
    <s v="Occupancy &amp; Facilities"/>
    <x v="1"/>
    <x v="0"/>
    <n v="6117.14"/>
    <x v="0"/>
  </r>
  <r>
    <d v="2025-05-01T00:00:00"/>
    <x v="4"/>
    <s v="D04"/>
    <x v="3"/>
    <s v="5200"/>
    <s v="Occupancy &amp; Facilities"/>
    <x v="1"/>
    <x v="1"/>
    <n v="6000"/>
    <x v="0"/>
  </r>
  <r>
    <d v="2025-05-01T00:00:00"/>
    <x v="4"/>
    <s v="D04"/>
    <x v="3"/>
    <s v="5300"/>
    <s v="IT Software &amp; Subscriptions"/>
    <x v="2"/>
    <x v="0"/>
    <n v="7111.82"/>
    <x v="0"/>
  </r>
  <r>
    <d v="2025-05-01T00:00:00"/>
    <x v="4"/>
    <s v="D04"/>
    <x v="3"/>
    <s v="5300"/>
    <s v="IT Software &amp; Subscriptions"/>
    <x v="2"/>
    <x v="1"/>
    <n v="7280"/>
    <x v="0"/>
  </r>
  <r>
    <d v="2025-05-01T00:00:00"/>
    <x v="4"/>
    <s v="D04"/>
    <x v="3"/>
    <s v="5400"/>
    <s v="Marketing &amp; Advertising"/>
    <x v="3"/>
    <x v="0"/>
    <n v="29586.33"/>
    <x v="0"/>
  </r>
  <r>
    <d v="2025-05-01T00:00:00"/>
    <x v="4"/>
    <s v="D04"/>
    <x v="3"/>
    <s v="5400"/>
    <s v="Marketing &amp; Advertising"/>
    <x v="3"/>
    <x v="1"/>
    <n v="29120"/>
    <x v="0"/>
  </r>
  <r>
    <d v="2025-05-01T00:00:00"/>
    <x v="4"/>
    <s v="D04"/>
    <x v="3"/>
    <s v="5500"/>
    <s v="Professional Services"/>
    <x v="4"/>
    <x v="0"/>
    <n v="6493.36"/>
    <x v="0"/>
  </r>
  <r>
    <d v="2025-05-01T00:00:00"/>
    <x v="4"/>
    <s v="D04"/>
    <x v="3"/>
    <s v="5500"/>
    <s v="Professional Services"/>
    <x v="4"/>
    <x v="1"/>
    <n v="6240"/>
    <x v="0"/>
  </r>
  <r>
    <d v="2025-05-01T00:00:00"/>
    <x v="4"/>
    <s v="D04"/>
    <x v="3"/>
    <s v="5600"/>
    <s v="Office Supplies"/>
    <x v="5"/>
    <x v="0"/>
    <n v="707.25"/>
    <x v="0"/>
  </r>
  <r>
    <d v="2025-05-01T00:00:00"/>
    <x v="4"/>
    <s v="D04"/>
    <x v="3"/>
    <s v="5600"/>
    <s v="Office Supplies"/>
    <x v="5"/>
    <x v="1"/>
    <n v="728"/>
    <x v="0"/>
  </r>
  <r>
    <d v="2025-05-01T00:00:00"/>
    <x v="4"/>
    <s v="D04"/>
    <x v="3"/>
    <s v="5700"/>
    <s v="Training &amp; Development"/>
    <x v="5"/>
    <x v="0"/>
    <n v="1161.43"/>
    <x v="0"/>
  </r>
  <r>
    <d v="2025-05-01T00:00:00"/>
    <x v="4"/>
    <s v="D04"/>
    <x v="3"/>
    <s v="5700"/>
    <s v="Training &amp; Development"/>
    <x v="5"/>
    <x v="1"/>
    <n v="1144"/>
    <x v="0"/>
  </r>
  <r>
    <d v="2025-05-01T00:00:00"/>
    <x v="4"/>
    <s v="D05"/>
    <x v="4"/>
    <s v="5000"/>
    <s v="Salaries"/>
    <x v="0"/>
    <x v="0"/>
    <n v="53565.9"/>
    <x v="0"/>
  </r>
  <r>
    <d v="2025-05-01T00:00:00"/>
    <x v="4"/>
    <s v="D05"/>
    <x v="4"/>
    <s v="5000"/>
    <s v="Salaries"/>
    <x v="0"/>
    <x v="1"/>
    <n v="53560"/>
    <x v="0"/>
  </r>
  <r>
    <d v="2025-05-01T00:00:00"/>
    <x v="4"/>
    <s v="D05"/>
    <x v="4"/>
    <s v="5100"/>
    <s v="Benefits"/>
    <x v="0"/>
    <x v="0"/>
    <n v="12851.23"/>
    <x v="0"/>
  </r>
  <r>
    <d v="2025-05-01T00:00:00"/>
    <x v="4"/>
    <s v="D05"/>
    <x v="4"/>
    <s v="5100"/>
    <s v="Benefits"/>
    <x v="0"/>
    <x v="1"/>
    <n v="11783.2"/>
    <x v="0"/>
  </r>
  <r>
    <d v="2025-05-01T00:00:00"/>
    <x v="4"/>
    <s v="D05"/>
    <x v="4"/>
    <s v="5200"/>
    <s v="Occupancy &amp; Facilities"/>
    <x v="1"/>
    <x v="0"/>
    <n v="3702.03"/>
    <x v="0"/>
  </r>
  <r>
    <d v="2025-05-01T00:00:00"/>
    <x v="4"/>
    <s v="D05"/>
    <x v="4"/>
    <s v="5200"/>
    <s v="Occupancy &amp; Facilities"/>
    <x v="1"/>
    <x v="1"/>
    <n v="4000"/>
    <x v="0"/>
  </r>
  <r>
    <d v="2025-05-01T00:00:00"/>
    <x v="4"/>
    <s v="D05"/>
    <x v="4"/>
    <s v="5300"/>
    <s v="IT Software &amp; Subscriptions"/>
    <x v="2"/>
    <x v="0"/>
    <n v="5344.62"/>
    <x v="0"/>
  </r>
  <r>
    <d v="2025-05-01T00:00:00"/>
    <x v="4"/>
    <s v="D05"/>
    <x v="4"/>
    <s v="5300"/>
    <s v="IT Software &amp; Subscriptions"/>
    <x v="2"/>
    <x v="1"/>
    <n v="5200"/>
    <x v="0"/>
  </r>
  <r>
    <d v="2025-05-01T00:00:00"/>
    <x v="4"/>
    <s v="D05"/>
    <x v="4"/>
    <s v="5400"/>
    <s v="Marketing &amp; Advertising"/>
    <x v="3"/>
    <x v="0"/>
    <n v="1232.71"/>
    <x v="0"/>
  </r>
  <r>
    <d v="2025-05-01T00:00:00"/>
    <x v="4"/>
    <s v="D05"/>
    <x v="4"/>
    <s v="5400"/>
    <s v="Marketing &amp; Advertising"/>
    <x v="3"/>
    <x v="1"/>
    <n v="1248"/>
    <x v="0"/>
  </r>
  <r>
    <d v="2025-05-01T00:00:00"/>
    <x v="4"/>
    <s v="D05"/>
    <x v="4"/>
    <s v="5500"/>
    <s v="Professional Services"/>
    <x v="4"/>
    <x v="0"/>
    <n v="3625.41"/>
    <x v="0"/>
  </r>
  <r>
    <d v="2025-05-01T00:00:00"/>
    <x v="4"/>
    <s v="D05"/>
    <x v="4"/>
    <s v="5500"/>
    <s v="Professional Services"/>
    <x v="4"/>
    <x v="1"/>
    <n v="3640"/>
    <x v="0"/>
  </r>
  <r>
    <d v="2025-05-01T00:00:00"/>
    <x v="4"/>
    <s v="D05"/>
    <x v="4"/>
    <s v="5600"/>
    <s v="Office Supplies"/>
    <x v="5"/>
    <x v="0"/>
    <n v="671.46"/>
    <x v="0"/>
  </r>
  <r>
    <d v="2025-05-01T00:00:00"/>
    <x v="4"/>
    <s v="D05"/>
    <x v="4"/>
    <s v="5600"/>
    <s v="Office Supplies"/>
    <x v="5"/>
    <x v="1"/>
    <n v="624"/>
    <x v="0"/>
  </r>
  <r>
    <d v="2025-05-01T00:00:00"/>
    <x v="4"/>
    <s v="D05"/>
    <x v="4"/>
    <s v="5700"/>
    <s v="Training &amp; Development"/>
    <x v="5"/>
    <x v="0"/>
    <n v="1663.43"/>
    <x v="0"/>
  </r>
  <r>
    <d v="2025-05-01T00:00:00"/>
    <x v="4"/>
    <s v="D05"/>
    <x v="4"/>
    <s v="5700"/>
    <s v="Training &amp; Development"/>
    <x v="5"/>
    <x v="1"/>
    <n v="1664"/>
    <x v="0"/>
  </r>
  <r>
    <d v="2025-06-01T00:00:00"/>
    <x v="5"/>
    <s v="D01"/>
    <x v="0"/>
    <s v="5000"/>
    <s v="Salaries"/>
    <x v="0"/>
    <x v="0"/>
    <n v="218853.74"/>
    <x v="0"/>
  </r>
  <r>
    <d v="2025-06-01T00:00:00"/>
    <x v="5"/>
    <s v="D01"/>
    <x v="0"/>
    <s v="5000"/>
    <s v="Salaries"/>
    <x v="0"/>
    <x v="1"/>
    <n v="200850"/>
    <x v="0"/>
  </r>
  <r>
    <d v="2025-06-01T00:00:00"/>
    <x v="5"/>
    <s v="D01"/>
    <x v="0"/>
    <s v="5100"/>
    <s v="Benefits"/>
    <x v="0"/>
    <x v="0"/>
    <n v="43405.51"/>
    <x v="0"/>
  </r>
  <r>
    <d v="2025-06-01T00:00:00"/>
    <x v="5"/>
    <s v="D01"/>
    <x v="0"/>
    <s v="5100"/>
    <s v="Benefits"/>
    <x v="0"/>
    <x v="1"/>
    <n v="44187"/>
    <x v="0"/>
  </r>
  <r>
    <d v="2025-06-01T00:00:00"/>
    <x v="5"/>
    <s v="D01"/>
    <x v="0"/>
    <s v="5200"/>
    <s v="Occupancy &amp; Facilities"/>
    <x v="1"/>
    <x v="0"/>
    <n v="38532.78"/>
    <x v="0"/>
  </r>
  <r>
    <d v="2025-06-01T00:00:00"/>
    <x v="5"/>
    <s v="D01"/>
    <x v="0"/>
    <s v="5200"/>
    <s v="Occupancy &amp; Facilities"/>
    <x v="1"/>
    <x v="1"/>
    <n v="38000"/>
    <x v="0"/>
  </r>
  <r>
    <d v="2025-06-01T00:00:00"/>
    <x v="5"/>
    <s v="D01"/>
    <x v="0"/>
    <s v="5300"/>
    <s v="IT Software &amp; Subscriptions"/>
    <x v="2"/>
    <x v="0"/>
    <n v="12234.97"/>
    <x v="0"/>
  </r>
  <r>
    <d v="2025-06-01T00:00:00"/>
    <x v="5"/>
    <s v="D01"/>
    <x v="0"/>
    <s v="5300"/>
    <s v="IT Software &amp; Subscriptions"/>
    <x v="2"/>
    <x v="1"/>
    <n v="12480"/>
    <x v="0"/>
  </r>
  <r>
    <d v="2025-06-01T00:00:00"/>
    <x v="5"/>
    <s v="D01"/>
    <x v="0"/>
    <s v="5400"/>
    <s v="Marketing &amp; Advertising"/>
    <x v="3"/>
    <x v="0"/>
    <n v="4045.07"/>
    <x v="0"/>
  </r>
  <r>
    <d v="2025-06-01T00:00:00"/>
    <x v="5"/>
    <s v="D01"/>
    <x v="0"/>
    <s v="5400"/>
    <s v="Marketing &amp; Advertising"/>
    <x v="3"/>
    <x v="1"/>
    <n v="4160"/>
    <x v="0"/>
  </r>
  <r>
    <d v="2025-06-01T00:00:00"/>
    <x v="5"/>
    <s v="D01"/>
    <x v="0"/>
    <s v="5500"/>
    <s v="Professional Services"/>
    <x v="4"/>
    <x v="0"/>
    <n v="5213"/>
    <x v="0"/>
  </r>
  <r>
    <d v="2025-06-01T00:00:00"/>
    <x v="5"/>
    <s v="D01"/>
    <x v="0"/>
    <s v="5500"/>
    <s v="Professional Services"/>
    <x v="4"/>
    <x v="1"/>
    <n v="5200"/>
    <x v="0"/>
  </r>
  <r>
    <d v="2025-06-01T00:00:00"/>
    <x v="5"/>
    <s v="D01"/>
    <x v="0"/>
    <s v="5600"/>
    <s v="Office Supplies"/>
    <x v="5"/>
    <x v="0"/>
    <n v="1542.37"/>
    <x v="0"/>
  </r>
  <r>
    <d v="2025-06-01T00:00:00"/>
    <x v="5"/>
    <s v="D01"/>
    <x v="0"/>
    <s v="5600"/>
    <s v="Office Supplies"/>
    <x v="5"/>
    <x v="1"/>
    <n v="1560"/>
    <x v="0"/>
  </r>
  <r>
    <d v="2025-06-01T00:00:00"/>
    <x v="5"/>
    <s v="D01"/>
    <x v="0"/>
    <s v="5700"/>
    <s v="Training &amp; Development"/>
    <x v="5"/>
    <x v="0"/>
    <n v="1258.1099999999999"/>
    <x v="0"/>
  </r>
  <r>
    <d v="2025-06-01T00:00:00"/>
    <x v="5"/>
    <s v="D01"/>
    <x v="0"/>
    <s v="5700"/>
    <s v="Training &amp; Development"/>
    <x v="5"/>
    <x v="1"/>
    <n v="1248"/>
    <x v="0"/>
  </r>
  <r>
    <d v="2025-06-01T00:00:00"/>
    <x v="5"/>
    <s v="D02"/>
    <x v="1"/>
    <s v="5000"/>
    <s v="Salaries"/>
    <x v="0"/>
    <x v="0"/>
    <n v="158469.84"/>
    <x v="0"/>
  </r>
  <r>
    <d v="2025-06-01T00:00:00"/>
    <x v="5"/>
    <s v="D02"/>
    <x v="1"/>
    <s v="5000"/>
    <s v="Salaries"/>
    <x v="0"/>
    <x v="1"/>
    <n v="173040"/>
    <x v="0"/>
  </r>
  <r>
    <d v="2025-06-01T00:00:00"/>
    <x v="5"/>
    <s v="D02"/>
    <x v="1"/>
    <s v="5100"/>
    <s v="Benefits"/>
    <x v="0"/>
    <x v="0"/>
    <n v="41118.06"/>
    <x v="0"/>
  </r>
  <r>
    <d v="2025-06-01T00:00:00"/>
    <x v="5"/>
    <s v="D02"/>
    <x v="1"/>
    <s v="5100"/>
    <s v="Benefits"/>
    <x v="0"/>
    <x v="1"/>
    <n v="38068.800000000003"/>
    <x v="0"/>
  </r>
  <r>
    <d v="2025-06-01T00:00:00"/>
    <x v="5"/>
    <s v="D02"/>
    <x v="1"/>
    <s v="5200"/>
    <s v="Occupancy &amp; Facilities"/>
    <x v="1"/>
    <x v="0"/>
    <n v="15893.12"/>
    <x v="0"/>
  </r>
  <r>
    <d v="2025-06-01T00:00:00"/>
    <x v="5"/>
    <s v="D02"/>
    <x v="1"/>
    <s v="5200"/>
    <s v="Occupancy &amp; Facilities"/>
    <x v="1"/>
    <x v="1"/>
    <n v="16000"/>
    <x v="0"/>
  </r>
  <r>
    <d v="2025-06-01T00:00:00"/>
    <x v="5"/>
    <s v="D02"/>
    <x v="1"/>
    <s v="5300"/>
    <s v="IT Software &amp; Subscriptions"/>
    <x v="2"/>
    <x v="0"/>
    <n v="10012.540000000001"/>
    <x v="0"/>
  </r>
  <r>
    <d v="2025-06-01T00:00:00"/>
    <x v="5"/>
    <s v="D02"/>
    <x v="1"/>
    <s v="5300"/>
    <s v="IT Software &amp; Subscriptions"/>
    <x v="2"/>
    <x v="1"/>
    <n v="9360"/>
    <x v="0"/>
  </r>
  <r>
    <d v="2025-06-01T00:00:00"/>
    <x v="5"/>
    <s v="D02"/>
    <x v="1"/>
    <s v="5400"/>
    <s v="Marketing &amp; Advertising"/>
    <x v="3"/>
    <x v="0"/>
    <n v="5988.62"/>
    <x v="0"/>
  </r>
  <r>
    <d v="2025-06-01T00:00:00"/>
    <x v="5"/>
    <s v="D02"/>
    <x v="1"/>
    <s v="5400"/>
    <s v="Marketing &amp; Advertising"/>
    <x v="3"/>
    <x v="1"/>
    <n v="6240"/>
    <x v="0"/>
  </r>
  <r>
    <d v="2025-06-01T00:00:00"/>
    <x v="5"/>
    <s v="D02"/>
    <x v="1"/>
    <s v="5500"/>
    <s v="Professional Services"/>
    <x v="4"/>
    <x v="0"/>
    <n v="8417.36"/>
    <x v="0"/>
  </r>
  <r>
    <d v="2025-06-01T00:00:00"/>
    <x v="5"/>
    <s v="D02"/>
    <x v="1"/>
    <s v="5500"/>
    <s v="Professional Services"/>
    <x v="4"/>
    <x v="1"/>
    <n v="8320"/>
    <x v="0"/>
  </r>
  <r>
    <d v="2025-06-01T00:00:00"/>
    <x v="5"/>
    <s v="D02"/>
    <x v="1"/>
    <s v="5600"/>
    <s v="Office Supplies"/>
    <x v="5"/>
    <x v="0"/>
    <n v="1054.5"/>
    <x v="0"/>
  </r>
  <r>
    <d v="2025-06-01T00:00:00"/>
    <x v="5"/>
    <s v="D02"/>
    <x v="1"/>
    <s v="5600"/>
    <s v="Office Supplies"/>
    <x v="5"/>
    <x v="1"/>
    <n v="936"/>
    <x v="0"/>
  </r>
  <r>
    <d v="2025-06-01T00:00:00"/>
    <x v="5"/>
    <s v="D02"/>
    <x v="1"/>
    <s v="5700"/>
    <s v="Training &amp; Development"/>
    <x v="5"/>
    <x v="0"/>
    <n v="1405.35"/>
    <x v="0"/>
  </r>
  <r>
    <d v="2025-06-01T00:00:00"/>
    <x v="5"/>
    <s v="D02"/>
    <x v="1"/>
    <s v="5700"/>
    <s v="Training &amp; Development"/>
    <x v="5"/>
    <x v="1"/>
    <n v="1456"/>
    <x v="0"/>
  </r>
  <r>
    <d v="2025-06-01T00:00:00"/>
    <x v="5"/>
    <s v="D03"/>
    <x v="2"/>
    <s v="5000"/>
    <s v="Salaries"/>
    <x v="0"/>
    <x v="0"/>
    <n v="142353.87"/>
    <x v="0"/>
  </r>
  <r>
    <d v="2025-06-01T00:00:00"/>
    <x v="5"/>
    <s v="D03"/>
    <x v="2"/>
    <s v="5000"/>
    <s v="Salaries"/>
    <x v="0"/>
    <x v="1"/>
    <n v="151410"/>
    <x v="0"/>
  </r>
  <r>
    <d v="2025-06-01T00:00:00"/>
    <x v="5"/>
    <s v="D03"/>
    <x v="2"/>
    <s v="5100"/>
    <s v="Benefits"/>
    <x v="0"/>
    <x v="0"/>
    <n v="32582.03"/>
    <x v="0"/>
  </r>
  <r>
    <d v="2025-06-01T00:00:00"/>
    <x v="5"/>
    <s v="D03"/>
    <x v="2"/>
    <s v="5100"/>
    <s v="Benefits"/>
    <x v="0"/>
    <x v="1"/>
    <n v="33310.199999999997"/>
    <x v="0"/>
  </r>
  <r>
    <d v="2025-06-01T00:00:00"/>
    <x v="5"/>
    <s v="D03"/>
    <x v="2"/>
    <s v="5200"/>
    <s v="Occupancy &amp; Facilities"/>
    <x v="1"/>
    <x v="0"/>
    <n v="9170.1"/>
    <x v="0"/>
  </r>
  <r>
    <d v="2025-06-01T00:00:00"/>
    <x v="5"/>
    <s v="D03"/>
    <x v="2"/>
    <s v="5200"/>
    <s v="Occupancy &amp; Facilities"/>
    <x v="1"/>
    <x v="1"/>
    <n v="9000"/>
    <x v="0"/>
  </r>
  <r>
    <d v="2025-06-01T00:00:00"/>
    <x v="5"/>
    <s v="D03"/>
    <x v="2"/>
    <s v="5300"/>
    <s v="IT Software &amp; Subscriptions"/>
    <x v="2"/>
    <x v="0"/>
    <n v="44891.4"/>
    <x v="0"/>
  </r>
  <r>
    <d v="2025-06-01T00:00:00"/>
    <x v="5"/>
    <s v="D03"/>
    <x v="2"/>
    <s v="5300"/>
    <s v="IT Software &amp; Subscriptions"/>
    <x v="2"/>
    <x v="1"/>
    <n v="43680"/>
    <x v="0"/>
  </r>
  <r>
    <d v="2025-06-01T00:00:00"/>
    <x v="5"/>
    <s v="D03"/>
    <x v="2"/>
    <s v="5400"/>
    <s v="Marketing &amp; Advertising"/>
    <x v="3"/>
    <x v="0"/>
    <n v="1640.52"/>
    <x v="0"/>
  </r>
  <r>
    <d v="2025-06-01T00:00:00"/>
    <x v="5"/>
    <s v="D03"/>
    <x v="2"/>
    <s v="5400"/>
    <s v="Marketing &amp; Advertising"/>
    <x v="3"/>
    <x v="1"/>
    <n v="1560"/>
    <x v="0"/>
  </r>
  <r>
    <d v="2025-06-01T00:00:00"/>
    <x v="5"/>
    <s v="D03"/>
    <x v="2"/>
    <s v="5500"/>
    <s v="Professional Services"/>
    <x v="4"/>
    <x v="0"/>
    <n v="12351.7"/>
    <x v="0"/>
  </r>
  <r>
    <d v="2025-06-01T00:00:00"/>
    <x v="5"/>
    <s v="D03"/>
    <x v="2"/>
    <s v="5500"/>
    <s v="Professional Services"/>
    <x v="4"/>
    <x v="1"/>
    <n v="12480"/>
    <x v="0"/>
  </r>
  <r>
    <d v="2025-06-01T00:00:00"/>
    <x v="5"/>
    <s v="D03"/>
    <x v="2"/>
    <s v="5600"/>
    <s v="Office Supplies"/>
    <x v="5"/>
    <x v="0"/>
    <n v="778.68"/>
    <x v="0"/>
  </r>
  <r>
    <d v="2025-06-01T00:00:00"/>
    <x v="5"/>
    <s v="D03"/>
    <x v="2"/>
    <s v="5600"/>
    <s v="Office Supplies"/>
    <x v="5"/>
    <x v="1"/>
    <n v="832"/>
    <x v="0"/>
  </r>
  <r>
    <d v="2025-06-01T00:00:00"/>
    <x v="5"/>
    <s v="D03"/>
    <x v="2"/>
    <s v="5700"/>
    <s v="Training &amp; Development"/>
    <x v="5"/>
    <x v="0"/>
    <n v="1839.42"/>
    <x v="0"/>
  </r>
  <r>
    <d v="2025-06-01T00:00:00"/>
    <x v="5"/>
    <s v="D03"/>
    <x v="2"/>
    <s v="5700"/>
    <s v="Training &amp; Development"/>
    <x v="5"/>
    <x v="1"/>
    <n v="1872"/>
    <x v="0"/>
  </r>
  <r>
    <d v="2025-06-01T00:00:00"/>
    <x v="5"/>
    <s v="D04"/>
    <x v="3"/>
    <s v="5000"/>
    <s v="Salaries"/>
    <x v="0"/>
    <x v="0"/>
    <n v="67568.570000000007"/>
    <x v="0"/>
  </r>
  <r>
    <d v="2025-06-01T00:00:00"/>
    <x v="5"/>
    <s v="D04"/>
    <x v="3"/>
    <s v="5000"/>
    <s v="Salaries"/>
    <x v="0"/>
    <x v="1"/>
    <n v="64375"/>
    <x v="0"/>
  </r>
  <r>
    <d v="2025-06-01T00:00:00"/>
    <x v="5"/>
    <s v="D04"/>
    <x v="3"/>
    <s v="5100"/>
    <s v="Benefits"/>
    <x v="0"/>
    <x v="0"/>
    <n v="14426.3"/>
    <x v="0"/>
  </r>
  <r>
    <d v="2025-06-01T00:00:00"/>
    <x v="5"/>
    <s v="D04"/>
    <x v="3"/>
    <s v="5100"/>
    <s v="Benefits"/>
    <x v="0"/>
    <x v="1"/>
    <n v="14162.5"/>
    <x v="0"/>
  </r>
  <r>
    <d v="2025-06-01T00:00:00"/>
    <x v="5"/>
    <s v="D04"/>
    <x v="3"/>
    <s v="5200"/>
    <s v="Occupancy &amp; Facilities"/>
    <x v="1"/>
    <x v="0"/>
    <n v="5530.33"/>
    <x v="0"/>
  </r>
  <r>
    <d v="2025-06-01T00:00:00"/>
    <x v="5"/>
    <s v="D04"/>
    <x v="3"/>
    <s v="5200"/>
    <s v="Occupancy &amp; Facilities"/>
    <x v="1"/>
    <x v="1"/>
    <n v="6000"/>
    <x v="0"/>
  </r>
  <r>
    <d v="2025-06-01T00:00:00"/>
    <x v="5"/>
    <s v="D04"/>
    <x v="3"/>
    <s v="5300"/>
    <s v="IT Software &amp; Subscriptions"/>
    <x v="2"/>
    <x v="0"/>
    <n v="7269.79"/>
    <x v="0"/>
  </r>
  <r>
    <d v="2025-06-01T00:00:00"/>
    <x v="5"/>
    <s v="D04"/>
    <x v="3"/>
    <s v="5300"/>
    <s v="IT Software &amp; Subscriptions"/>
    <x v="2"/>
    <x v="1"/>
    <n v="7280"/>
    <x v="0"/>
  </r>
  <r>
    <d v="2025-06-01T00:00:00"/>
    <x v="5"/>
    <s v="D04"/>
    <x v="3"/>
    <s v="5400"/>
    <s v="Marketing &amp; Advertising"/>
    <x v="3"/>
    <x v="0"/>
    <n v="30748.59"/>
    <x v="0"/>
  </r>
  <r>
    <d v="2025-06-01T00:00:00"/>
    <x v="5"/>
    <s v="D04"/>
    <x v="3"/>
    <s v="5400"/>
    <s v="Marketing &amp; Advertising"/>
    <x v="3"/>
    <x v="1"/>
    <n v="29120"/>
    <x v="0"/>
  </r>
  <r>
    <d v="2025-06-01T00:00:00"/>
    <x v="5"/>
    <s v="D04"/>
    <x v="3"/>
    <s v="5500"/>
    <s v="Professional Services"/>
    <x v="4"/>
    <x v="0"/>
    <n v="6770.79"/>
    <x v="0"/>
  </r>
  <r>
    <d v="2025-06-01T00:00:00"/>
    <x v="5"/>
    <s v="D04"/>
    <x v="3"/>
    <s v="5500"/>
    <s v="Professional Services"/>
    <x v="4"/>
    <x v="1"/>
    <n v="6240"/>
    <x v="0"/>
  </r>
  <r>
    <d v="2025-06-01T00:00:00"/>
    <x v="5"/>
    <s v="D04"/>
    <x v="3"/>
    <s v="5600"/>
    <s v="Office Supplies"/>
    <x v="5"/>
    <x v="0"/>
    <n v="744.36"/>
    <x v="0"/>
  </r>
  <r>
    <d v="2025-06-01T00:00:00"/>
    <x v="5"/>
    <s v="D04"/>
    <x v="3"/>
    <s v="5600"/>
    <s v="Office Supplies"/>
    <x v="5"/>
    <x v="1"/>
    <n v="728"/>
    <x v="0"/>
  </r>
  <r>
    <d v="2025-06-01T00:00:00"/>
    <x v="5"/>
    <s v="D04"/>
    <x v="3"/>
    <s v="5700"/>
    <s v="Training &amp; Development"/>
    <x v="5"/>
    <x v="0"/>
    <n v="1158.1500000000001"/>
    <x v="0"/>
  </r>
  <r>
    <d v="2025-06-01T00:00:00"/>
    <x v="5"/>
    <s v="D04"/>
    <x v="3"/>
    <s v="5700"/>
    <s v="Training &amp; Development"/>
    <x v="5"/>
    <x v="1"/>
    <n v="1144"/>
    <x v="0"/>
  </r>
  <r>
    <d v="2025-06-01T00:00:00"/>
    <x v="5"/>
    <s v="D05"/>
    <x v="4"/>
    <s v="5000"/>
    <s v="Salaries"/>
    <x v="0"/>
    <x v="0"/>
    <n v="50902.98"/>
    <x v="0"/>
  </r>
  <r>
    <d v="2025-06-01T00:00:00"/>
    <x v="5"/>
    <s v="D05"/>
    <x v="4"/>
    <s v="5000"/>
    <s v="Salaries"/>
    <x v="0"/>
    <x v="1"/>
    <n v="53560"/>
    <x v="0"/>
  </r>
  <r>
    <d v="2025-06-01T00:00:00"/>
    <x v="5"/>
    <s v="D05"/>
    <x v="4"/>
    <s v="5100"/>
    <s v="Benefits"/>
    <x v="0"/>
    <x v="0"/>
    <n v="11385.76"/>
    <x v="0"/>
  </r>
  <r>
    <d v="2025-06-01T00:00:00"/>
    <x v="5"/>
    <s v="D05"/>
    <x v="4"/>
    <s v="5100"/>
    <s v="Benefits"/>
    <x v="0"/>
    <x v="1"/>
    <n v="11783.2"/>
    <x v="0"/>
  </r>
  <r>
    <d v="2025-06-01T00:00:00"/>
    <x v="5"/>
    <s v="D05"/>
    <x v="4"/>
    <s v="5200"/>
    <s v="Occupancy &amp; Facilities"/>
    <x v="1"/>
    <x v="0"/>
    <n v="4007.51"/>
    <x v="0"/>
  </r>
  <r>
    <d v="2025-06-01T00:00:00"/>
    <x v="5"/>
    <s v="D05"/>
    <x v="4"/>
    <s v="5200"/>
    <s v="Occupancy &amp; Facilities"/>
    <x v="1"/>
    <x v="1"/>
    <n v="4000"/>
    <x v="0"/>
  </r>
  <r>
    <d v="2025-06-01T00:00:00"/>
    <x v="5"/>
    <s v="D05"/>
    <x v="4"/>
    <s v="5300"/>
    <s v="IT Software &amp; Subscriptions"/>
    <x v="2"/>
    <x v="0"/>
    <n v="5304.67"/>
    <x v="0"/>
  </r>
  <r>
    <d v="2025-06-01T00:00:00"/>
    <x v="5"/>
    <s v="D05"/>
    <x v="4"/>
    <s v="5300"/>
    <s v="IT Software &amp; Subscriptions"/>
    <x v="2"/>
    <x v="1"/>
    <n v="5200"/>
    <x v="0"/>
  </r>
  <r>
    <d v="2025-06-01T00:00:00"/>
    <x v="5"/>
    <s v="D05"/>
    <x v="4"/>
    <s v="5400"/>
    <s v="Marketing &amp; Advertising"/>
    <x v="3"/>
    <x v="0"/>
    <n v="1276.96"/>
    <x v="0"/>
  </r>
  <r>
    <d v="2025-06-01T00:00:00"/>
    <x v="5"/>
    <s v="D05"/>
    <x v="4"/>
    <s v="5400"/>
    <s v="Marketing &amp; Advertising"/>
    <x v="3"/>
    <x v="1"/>
    <n v="1248"/>
    <x v="0"/>
  </r>
  <r>
    <d v="2025-06-01T00:00:00"/>
    <x v="5"/>
    <s v="D05"/>
    <x v="4"/>
    <s v="5500"/>
    <s v="Professional Services"/>
    <x v="4"/>
    <x v="0"/>
    <n v="3570.37"/>
    <x v="0"/>
  </r>
  <r>
    <d v="2025-06-01T00:00:00"/>
    <x v="5"/>
    <s v="D05"/>
    <x v="4"/>
    <s v="5500"/>
    <s v="Professional Services"/>
    <x v="4"/>
    <x v="1"/>
    <n v="3640"/>
    <x v="0"/>
  </r>
  <r>
    <d v="2025-06-01T00:00:00"/>
    <x v="5"/>
    <s v="D05"/>
    <x v="4"/>
    <s v="5600"/>
    <s v="Office Supplies"/>
    <x v="5"/>
    <x v="0"/>
    <n v="595.25"/>
    <x v="0"/>
  </r>
  <r>
    <d v="2025-06-01T00:00:00"/>
    <x v="5"/>
    <s v="D05"/>
    <x v="4"/>
    <s v="5600"/>
    <s v="Office Supplies"/>
    <x v="5"/>
    <x v="1"/>
    <n v="624"/>
    <x v="0"/>
  </r>
  <r>
    <d v="2025-06-01T00:00:00"/>
    <x v="5"/>
    <s v="D05"/>
    <x v="4"/>
    <s v="5700"/>
    <s v="Training &amp; Development"/>
    <x v="5"/>
    <x v="0"/>
    <n v="1612.23"/>
    <x v="0"/>
  </r>
  <r>
    <d v="2025-06-01T00:00:00"/>
    <x v="5"/>
    <s v="D05"/>
    <x v="4"/>
    <s v="5700"/>
    <s v="Training &amp; Development"/>
    <x v="5"/>
    <x v="1"/>
    <n v="1664"/>
    <x v="0"/>
  </r>
  <r>
    <d v="2025-07-01T00:00:00"/>
    <x v="6"/>
    <s v="D01"/>
    <x v="0"/>
    <s v="5000"/>
    <s v="Salaries"/>
    <x v="0"/>
    <x v="0"/>
    <n v="191554.87"/>
    <x v="0"/>
  </r>
  <r>
    <d v="2025-07-01T00:00:00"/>
    <x v="6"/>
    <s v="D01"/>
    <x v="0"/>
    <s v="5000"/>
    <s v="Salaries"/>
    <x v="0"/>
    <x v="1"/>
    <n v="200850"/>
    <x v="0"/>
  </r>
  <r>
    <d v="2025-07-01T00:00:00"/>
    <x v="6"/>
    <s v="D01"/>
    <x v="0"/>
    <s v="5100"/>
    <s v="Benefits"/>
    <x v="0"/>
    <x v="0"/>
    <n v="45324.21"/>
    <x v="0"/>
  </r>
  <r>
    <d v="2025-07-01T00:00:00"/>
    <x v="6"/>
    <s v="D01"/>
    <x v="0"/>
    <s v="5100"/>
    <s v="Benefits"/>
    <x v="0"/>
    <x v="1"/>
    <n v="44187"/>
    <x v="0"/>
  </r>
  <r>
    <d v="2025-07-01T00:00:00"/>
    <x v="6"/>
    <s v="D01"/>
    <x v="0"/>
    <s v="5200"/>
    <s v="Occupancy &amp; Facilities"/>
    <x v="1"/>
    <x v="0"/>
    <n v="34485.33"/>
    <x v="0"/>
  </r>
  <r>
    <d v="2025-07-01T00:00:00"/>
    <x v="6"/>
    <s v="D01"/>
    <x v="0"/>
    <s v="5200"/>
    <s v="Occupancy &amp; Facilities"/>
    <x v="1"/>
    <x v="1"/>
    <n v="38000"/>
    <x v="0"/>
  </r>
  <r>
    <d v="2025-07-01T00:00:00"/>
    <x v="6"/>
    <s v="D01"/>
    <x v="0"/>
    <s v="5300"/>
    <s v="IT Software &amp; Subscriptions"/>
    <x v="2"/>
    <x v="0"/>
    <n v="12313.63"/>
    <x v="0"/>
  </r>
  <r>
    <d v="2025-07-01T00:00:00"/>
    <x v="6"/>
    <s v="D01"/>
    <x v="0"/>
    <s v="5300"/>
    <s v="IT Software &amp; Subscriptions"/>
    <x v="2"/>
    <x v="1"/>
    <n v="12480"/>
    <x v="0"/>
  </r>
  <r>
    <d v="2025-07-01T00:00:00"/>
    <x v="6"/>
    <s v="D01"/>
    <x v="0"/>
    <s v="5400"/>
    <s v="Marketing &amp; Advertising"/>
    <x v="3"/>
    <x v="0"/>
    <n v="4234.8599999999997"/>
    <x v="0"/>
  </r>
  <r>
    <d v="2025-07-01T00:00:00"/>
    <x v="6"/>
    <s v="D01"/>
    <x v="0"/>
    <s v="5400"/>
    <s v="Marketing &amp; Advertising"/>
    <x v="3"/>
    <x v="1"/>
    <n v="4160"/>
    <x v="0"/>
  </r>
  <r>
    <d v="2025-07-01T00:00:00"/>
    <x v="6"/>
    <s v="D01"/>
    <x v="0"/>
    <s v="5500"/>
    <s v="Professional Services"/>
    <x v="4"/>
    <x v="0"/>
    <n v="5516.58"/>
    <x v="0"/>
  </r>
  <r>
    <d v="2025-07-01T00:00:00"/>
    <x v="6"/>
    <s v="D01"/>
    <x v="0"/>
    <s v="5500"/>
    <s v="Professional Services"/>
    <x v="4"/>
    <x v="1"/>
    <n v="5200"/>
    <x v="0"/>
  </r>
  <r>
    <d v="2025-07-01T00:00:00"/>
    <x v="6"/>
    <s v="D01"/>
    <x v="0"/>
    <s v="5600"/>
    <s v="Office Supplies"/>
    <x v="5"/>
    <x v="0"/>
    <n v="1564.45"/>
    <x v="0"/>
  </r>
  <r>
    <d v="2025-07-01T00:00:00"/>
    <x v="6"/>
    <s v="D01"/>
    <x v="0"/>
    <s v="5600"/>
    <s v="Office Supplies"/>
    <x v="5"/>
    <x v="1"/>
    <n v="1560"/>
    <x v="0"/>
  </r>
  <r>
    <d v="2025-07-01T00:00:00"/>
    <x v="6"/>
    <s v="D01"/>
    <x v="0"/>
    <s v="5700"/>
    <s v="Training &amp; Development"/>
    <x v="5"/>
    <x v="0"/>
    <n v="1297.98"/>
    <x v="0"/>
  </r>
  <r>
    <d v="2025-07-01T00:00:00"/>
    <x v="6"/>
    <s v="D01"/>
    <x v="0"/>
    <s v="5700"/>
    <s v="Training &amp; Development"/>
    <x v="5"/>
    <x v="1"/>
    <n v="1248"/>
    <x v="0"/>
  </r>
  <r>
    <d v="2025-07-01T00:00:00"/>
    <x v="6"/>
    <s v="D02"/>
    <x v="1"/>
    <s v="5000"/>
    <s v="Salaries"/>
    <x v="0"/>
    <x v="0"/>
    <n v="170278.25"/>
    <x v="0"/>
  </r>
  <r>
    <d v="2025-07-01T00:00:00"/>
    <x v="6"/>
    <s v="D02"/>
    <x v="1"/>
    <s v="5000"/>
    <s v="Salaries"/>
    <x v="0"/>
    <x v="1"/>
    <n v="173040"/>
    <x v="0"/>
  </r>
  <r>
    <d v="2025-07-01T00:00:00"/>
    <x v="6"/>
    <s v="D02"/>
    <x v="1"/>
    <s v="5100"/>
    <s v="Benefits"/>
    <x v="0"/>
    <x v="0"/>
    <n v="36935.26"/>
    <x v="0"/>
  </r>
  <r>
    <d v="2025-07-01T00:00:00"/>
    <x v="6"/>
    <s v="D02"/>
    <x v="1"/>
    <s v="5100"/>
    <s v="Benefits"/>
    <x v="0"/>
    <x v="1"/>
    <n v="38068.800000000003"/>
    <x v="0"/>
  </r>
  <r>
    <d v="2025-07-01T00:00:00"/>
    <x v="6"/>
    <s v="D02"/>
    <x v="1"/>
    <s v="5200"/>
    <s v="Occupancy &amp; Facilities"/>
    <x v="1"/>
    <x v="0"/>
    <n v="15568.39"/>
    <x v="0"/>
  </r>
  <r>
    <d v="2025-07-01T00:00:00"/>
    <x v="6"/>
    <s v="D02"/>
    <x v="1"/>
    <s v="5200"/>
    <s v="Occupancy &amp; Facilities"/>
    <x v="1"/>
    <x v="1"/>
    <n v="16000"/>
    <x v="0"/>
  </r>
  <r>
    <d v="2025-07-01T00:00:00"/>
    <x v="6"/>
    <s v="D02"/>
    <x v="1"/>
    <s v="5300"/>
    <s v="IT Software &amp; Subscriptions"/>
    <x v="2"/>
    <x v="0"/>
    <n v="9931.83"/>
    <x v="0"/>
  </r>
  <r>
    <d v="2025-07-01T00:00:00"/>
    <x v="6"/>
    <s v="D02"/>
    <x v="1"/>
    <s v="5300"/>
    <s v="IT Software &amp; Subscriptions"/>
    <x v="2"/>
    <x v="1"/>
    <n v="9360"/>
    <x v="0"/>
  </r>
  <r>
    <d v="2025-07-01T00:00:00"/>
    <x v="6"/>
    <s v="D02"/>
    <x v="1"/>
    <s v="5400"/>
    <s v="Marketing &amp; Advertising"/>
    <x v="3"/>
    <x v="0"/>
    <n v="6488.16"/>
    <x v="0"/>
  </r>
  <r>
    <d v="2025-07-01T00:00:00"/>
    <x v="6"/>
    <s v="D02"/>
    <x v="1"/>
    <s v="5400"/>
    <s v="Marketing &amp; Advertising"/>
    <x v="3"/>
    <x v="1"/>
    <n v="6240"/>
    <x v="0"/>
  </r>
  <r>
    <d v="2025-07-01T00:00:00"/>
    <x v="6"/>
    <s v="D02"/>
    <x v="1"/>
    <s v="5500"/>
    <s v="Professional Services"/>
    <x v="4"/>
    <x v="0"/>
    <n v="8482.2099999999991"/>
    <x v="0"/>
  </r>
  <r>
    <d v="2025-07-01T00:00:00"/>
    <x v="6"/>
    <s v="D02"/>
    <x v="1"/>
    <s v="5500"/>
    <s v="Professional Services"/>
    <x v="4"/>
    <x v="1"/>
    <n v="8320"/>
    <x v="0"/>
  </r>
  <r>
    <d v="2025-07-01T00:00:00"/>
    <x v="6"/>
    <s v="D02"/>
    <x v="1"/>
    <s v="5600"/>
    <s v="Office Supplies"/>
    <x v="5"/>
    <x v="0"/>
    <n v="1060.69"/>
    <x v="0"/>
  </r>
  <r>
    <d v="2025-07-01T00:00:00"/>
    <x v="6"/>
    <s v="D02"/>
    <x v="1"/>
    <s v="5600"/>
    <s v="Office Supplies"/>
    <x v="5"/>
    <x v="1"/>
    <n v="936"/>
    <x v="0"/>
  </r>
  <r>
    <d v="2025-07-01T00:00:00"/>
    <x v="6"/>
    <s v="D02"/>
    <x v="1"/>
    <s v="5700"/>
    <s v="Training &amp; Development"/>
    <x v="5"/>
    <x v="0"/>
    <n v="1454.12"/>
    <x v="0"/>
  </r>
  <r>
    <d v="2025-07-01T00:00:00"/>
    <x v="6"/>
    <s v="D02"/>
    <x v="1"/>
    <s v="5700"/>
    <s v="Training &amp; Development"/>
    <x v="5"/>
    <x v="1"/>
    <n v="1456"/>
    <x v="0"/>
  </r>
  <r>
    <d v="2025-07-01T00:00:00"/>
    <x v="6"/>
    <s v="D03"/>
    <x v="2"/>
    <s v="5000"/>
    <s v="Salaries"/>
    <x v="0"/>
    <x v="0"/>
    <n v="155167.09"/>
    <x v="0"/>
  </r>
  <r>
    <d v="2025-07-01T00:00:00"/>
    <x v="6"/>
    <s v="D03"/>
    <x v="2"/>
    <s v="5000"/>
    <s v="Salaries"/>
    <x v="0"/>
    <x v="1"/>
    <n v="151410"/>
    <x v="0"/>
  </r>
  <r>
    <d v="2025-07-01T00:00:00"/>
    <x v="6"/>
    <s v="D03"/>
    <x v="2"/>
    <s v="5100"/>
    <s v="Benefits"/>
    <x v="0"/>
    <x v="0"/>
    <n v="33720.04"/>
    <x v="0"/>
  </r>
  <r>
    <d v="2025-07-01T00:00:00"/>
    <x v="6"/>
    <s v="D03"/>
    <x v="2"/>
    <s v="5100"/>
    <s v="Benefits"/>
    <x v="0"/>
    <x v="1"/>
    <n v="33310.199999999997"/>
    <x v="0"/>
  </r>
  <r>
    <d v="2025-07-01T00:00:00"/>
    <x v="6"/>
    <s v="D03"/>
    <x v="2"/>
    <s v="5200"/>
    <s v="Occupancy &amp; Facilities"/>
    <x v="1"/>
    <x v="0"/>
    <n v="8920.1200000000008"/>
    <x v="0"/>
  </r>
  <r>
    <d v="2025-07-01T00:00:00"/>
    <x v="6"/>
    <s v="D03"/>
    <x v="2"/>
    <s v="5200"/>
    <s v="Occupancy &amp; Facilities"/>
    <x v="1"/>
    <x v="1"/>
    <n v="9000"/>
    <x v="0"/>
  </r>
  <r>
    <d v="2025-07-01T00:00:00"/>
    <x v="6"/>
    <s v="D03"/>
    <x v="2"/>
    <s v="5300"/>
    <s v="IT Software &amp; Subscriptions"/>
    <x v="2"/>
    <x v="0"/>
    <n v="47726.81"/>
    <x v="0"/>
  </r>
  <r>
    <d v="2025-07-01T00:00:00"/>
    <x v="6"/>
    <s v="D03"/>
    <x v="2"/>
    <s v="5300"/>
    <s v="IT Software &amp; Subscriptions"/>
    <x v="2"/>
    <x v="1"/>
    <n v="43680"/>
    <x v="0"/>
  </r>
  <r>
    <d v="2025-07-01T00:00:00"/>
    <x v="6"/>
    <s v="D03"/>
    <x v="2"/>
    <s v="5400"/>
    <s v="Marketing &amp; Advertising"/>
    <x v="3"/>
    <x v="0"/>
    <n v="1654.01"/>
    <x v="0"/>
  </r>
  <r>
    <d v="2025-07-01T00:00:00"/>
    <x v="6"/>
    <s v="D03"/>
    <x v="2"/>
    <s v="5400"/>
    <s v="Marketing &amp; Advertising"/>
    <x v="3"/>
    <x v="1"/>
    <n v="1560"/>
    <x v="0"/>
  </r>
  <r>
    <d v="2025-07-01T00:00:00"/>
    <x v="6"/>
    <s v="D03"/>
    <x v="2"/>
    <s v="5500"/>
    <s v="Professional Services"/>
    <x v="4"/>
    <x v="0"/>
    <n v="11781.38"/>
    <x v="0"/>
  </r>
  <r>
    <d v="2025-07-01T00:00:00"/>
    <x v="6"/>
    <s v="D03"/>
    <x v="2"/>
    <s v="5500"/>
    <s v="Professional Services"/>
    <x v="4"/>
    <x v="1"/>
    <n v="12480"/>
    <x v="0"/>
  </r>
  <r>
    <d v="2025-07-01T00:00:00"/>
    <x v="6"/>
    <s v="D03"/>
    <x v="2"/>
    <s v="5600"/>
    <s v="Office Supplies"/>
    <x v="5"/>
    <x v="0"/>
    <n v="818.69"/>
    <x v="0"/>
  </r>
  <r>
    <d v="2025-07-01T00:00:00"/>
    <x v="6"/>
    <s v="D03"/>
    <x v="2"/>
    <s v="5600"/>
    <s v="Office Supplies"/>
    <x v="5"/>
    <x v="1"/>
    <n v="832"/>
    <x v="0"/>
  </r>
  <r>
    <d v="2025-07-01T00:00:00"/>
    <x v="6"/>
    <s v="D03"/>
    <x v="2"/>
    <s v="5700"/>
    <s v="Training &amp; Development"/>
    <x v="5"/>
    <x v="0"/>
    <n v="1904.07"/>
    <x v="0"/>
  </r>
  <r>
    <d v="2025-07-01T00:00:00"/>
    <x v="6"/>
    <s v="D03"/>
    <x v="2"/>
    <s v="5700"/>
    <s v="Training &amp; Development"/>
    <x v="5"/>
    <x v="1"/>
    <n v="1872"/>
    <x v="0"/>
  </r>
  <r>
    <d v="2025-07-01T00:00:00"/>
    <x v="6"/>
    <s v="D04"/>
    <x v="3"/>
    <s v="5000"/>
    <s v="Salaries"/>
    <x v="0"/>
    <x v="0"/>
    <n v="66391.7"/>
    <x v="0"/>
  </r>
  <r>
    <d v="2025-07-01T00:00:00"/>
    <x v="6"/>
    <s v="D04"/>
    <x v="3"/>
    <s v="5000"/>
    <s v="Salaries"/>
    <x v="0"/>
    <x v="1"/>
    <n v="64375"/>
    <x v="0"/>
  </r>
  <r>
    <d v="2025-07-01T00:00:00"/>
    <x v="6"/>
    <s v="D04"/>
    <x v="3"/>
    <s v="5100"/>
    <s v="Benefits"/>
    <x v="0"/>
    <x v="0"/>
    <n v="13398.6"/>
    <x v="0"/>
  </r>
  <r>
    <d v="2025-07-01T00:00:00"/>
    <x v="6"/>
    <s v="D04"/>
    <x v="3"/>
    <s v="5100"/>
    <s v="Benefits"/>
    <x v="0"/>
    <x v="1"/>
    <n v="14162.5"/>
    <x v="0"/>
  </r>
  <r>
    <d v="2025-07-01T00:00:00"/>
    <x v="6"/>
    <s v="D04"/>
    <x v="3"/>
    <s v="5200"/>
    <s v="Occupancy &amp; Facilities"/>
    <x v="1"/>
    <x v="0"/>
    <n v="5458.67"/>
    <x v="0"/>
  </r>
  <r>
    <d v="2025-07-01T00:00:00"/>
    <x v="6"/>
    <s v="D04"/>
    <x v="3"/>
    <s v="5200"/>
    <s v="Occupancy &amp; Facilities"/>
    <x v="1"/>
    <x v="1"/>
    <n v="6000"/>
    <x v="0"/>
  </r>
  <r>
    <d v="2025-07-01T00:00:00"/>
    <x v="6"/>
    <s v="D04"/>
    <x v="3"/>
    <s v="5300"/>
    <s v="IT Software &amp; Subscriptions"/>
    <x v="2"/>
    <x v="0"/>
    <n v="6724.87"/>
    <x v="0"/>
  </r>
  <r>
    <d v="2025-07-01T00:00:00"/>
    <x v="6"/>
    <s v="D04"/>
    <x v="3"/>
    <s v="5300"/>
    <s v="IT Software &amp; Subscriptions"/>
    <x v="2"/>
    <x v="1"/>
    <n v="7280"/>
    <x v="0"/>
  </r>
  <r>
    <d v="2025-07-01T00:00:00"/>
    <x v="6"/>
    <s v="D04"/>
    <x v="3"/>
    <s v="5400"/>
    <s v="Marketing &amp; Advertising"/>
    <x v="3"/>
    <x v="0"/>
    <n v="29037.17"/>
    <x v="0"/>
  </r>
  <r>
    <d v="2025-07-01T00:00:00"/>
    <x v="6"/>
    <s v="D04"/>
    <x v="3"/>
    <s v="5400"/>
    <s v="Marketing &amp; Advertising"/>
    <x v="3"/>
    <x v="1"/>
    <n v="29120"/>
    <x v="0"/>
  </r>
  <r>
    <d v="2025-07-01T00:00:00"/>
    <x v="6"/>
    <s v="D04"/>
    <x v="3"/>
    <s v="5500"/>
    <s v="Professional Services"/>
    <x v="4"/>
    <x v="0"/>
    <n v="6214.24"/>
    <x v="0"/>
  </r>
  <r>
    <d v="2025-07-01T00:00:00"/>
    <x v="6"/>
    <s v="D04"/>
    <x v="3"/>
    <s v="5500"/>
    <s v="Professional Services"/>
    <x v="4"/>
    <x v="1"/>
    <n v="6240"/>
    <x v="0"/>
  </r>
  <r>
    <d v="2025-07-01T00:00:00"/>
    <x v="6"/>
    <s v="D04"/>
    <x v="3"/>
    <s v="5600"/>
    <s v="Office Supplies"/>
    <x v="5"/>
    <x v="0"/>
    <n v="738.05"/>
    <x v="0"/>
  </r>
  <r>
    <d v="2025-07-01T00:00:00"/>
    <x v="6"/>
    <s v="D04"/>
    <x v="3"/>
    <s v="5600"/>
    <s v="Office Supplies"/>
    <x v="5"/>
    <x v="1"/>
    <n v="728"/>
    <x v="0"/>
  </r>
  <r>
    <d v="2025-07-01T00:00:00"/>
    <x v="6"/>
    <s v="D04"/>
    <x v="3"/>
    <s v="5700"/>
    <s v="Training &amp; Development"/>
    <x v="5"/>
    <x v="0"/>
    <n v="1108.78"/>
    <x v="0"/>
  </r>
  <r>
    <d v="2025-07-01T00:00:00"/>
    <x v="6"/>
    <s v="D04"/>
    <x v="3"/>
    <s v="5700"/>
    <s v="Training &amp; Development"/>
    <x v="5"/>
    <x v="1"/>
    <n v="1144"/>
    <x v="0"/>
  </r>
  <r>
    <d v="2025-07-01T00:00:00"/>
    <x v="6"/>
    <s v="D05"/>
    <x v="4"/>
    <s v="5000"/>
    <s v="Salaries"/>
    <x v="0"/>
    <x v="0"/>
    <n v="50937.19"/>
    <x v="0"/>
  </r>
  <r>
    <d v="2025-07-01T00:00:00"/>
    <x v="6"/>
    <s v="D05"/>
    <x v="4"/>
    <s v="5000"/>
    <s v="Salaries"/>
    <x v="0"/>
    <x v="1"/>
    <n v="53560"/>
    <x v="0"/>
  </r>
  <r>
    <d v="2025-07-01T00:00:00"/>
    <x v="6"/>
    <s v="D05"/>
    <x v="4"/>
    <s v="5100"/>
    <s v="Benefits"/>
    <x v="0"/>
    <x v="0"/>
    <n v="10829.68"/>
    <x v="0"/>
  </r>
  <r>
    <d v="2025-07-01T00:00:00"/>
    <x v="6"/>
    <s v="D05"/>
    <x v="4"/>
    <s v="5100"/>
    <s v="Benefits"/>
    <x v="0"/>
    <x v="1"/>
    <n v="11783.2"/>
    <x v="0"/>
  </r>
  <r>
    <d v="2025-07-01T00:00:00"/>
    <x v="6"/>
    <s v="D05"/>
    <x v="4"/>
    <s v="5200"/>
    <s v="Occupancy &amp; Facilities"/>
    <x v="1"/>
    <x v="0"/>
    <n v="4052.67"/>
    <x v="0"/>
  </r>
  <r>
    <d v="2025-07-01T00:00:00"/>
    <x v="6"/>
    <s v="D05"/>
    <x v="4"/>
    <s v="5200"/>
    <s v="Occupancy &amp; Facilities"/>
    <x v="1"/>
    <x v="1"/>
    <n v="4000"/>
    <x v="0"/>
  </r>
  <r>
    <d v="2025-07-01T00:00:00"/>
    <x v="6"/>
    <s v="D05"/>
    <x v="4"/>
    <s v="5300"/>
    <s v="IT Software &amp; Subscriptions"/>
    <x v="2"/>
    <x v="0"/>
    <n v="5276.97"/>
    <x v="0"/>
  </r>
  <r>
    <d v="2025-07-01T00:00:00"/>
    <x v="6"/>
    <s v="D05"/>
    <x v="4"/>
    <s v="5300"/>
    <s v="IT Software &amp; Subscriptions"/>
    <x v="2"/>
    <x v="1"/>
    <n v="5200"/>
    <x v="0"/>
  </r>
  <r>
    <d v="2025-07-01T00:00:00"/>
    <x v="6"/>
    <s v="D05"/>
    <x v="4"/>
    <s v="5400"/>
    <s v="Marketing &amp; Advertising"/>
    <x v="3"/>
    <x v="0"/>
    <n v="1297.57"/>
    <x v="0"/>
  </r>
  <r>
    <d v="2025-07-01T00:00:00"/>
    <x v="6"/>
    <s v="D05"/>
    <x v="4"/>
    <s v="5400"/>
    <s v="Marketing &amp; Advertising"/>
    <x v="3"/>
    <x v="1"/>
    <n v="1248"/>
    <x v="0"/>
  </r>
  <r>
    <d v="2025-07-01T00:00:00"/>
    <x v="6"/>
    <s v="D05"/>
    <x v="4"/>
    <s v="5500"/>
    <s v="Professional Services"/>
    <x v="4"/>
    <x v="0"/>
    <n v="3755.14"/>
    <x v="0"/>
  </r>
  <r>
    <d v="2025-07-01T00:00:00"/>
    <x v="6"/>
    <s v="D05"/>
    <x v="4"/>
    <s v="5500"/>
    <s v="Professional Services"/>
    <x v="4"/>
    <x v="1"/>
    <n v="3640"/>
    <x v="0"/>
  </r>
  <r>
    <d v="2025-07-01T00:00:00"/>
    <x v="6"/>
    <s v="D05"/>
    <x v="4"/>
    <s v="5600"/>
    <s v="Office Supplies"/>
    <x v="5"/>
    <x v="0"/>
    <n v="619.24"/>
    <x v="0"/>
  </r>
  <r>
    <d v="2025-07-01T00:00:00"/>
    <x v="6"/>
    <s v="D05"/>
    <x v="4"/>
    <s v="5600"/>
    <s v="Office Supplies"/>
    <x v="5"/>
    <x v="1"/>
    <n v="624"/>
    <x v="0"/>
  </r>
  <r>
    <d v="2025-07-01T00:00:00"/>
    <x v="6"/>
    <s v="D05"/>
    <x v="4"/>
    <s v="5700"/>
    <s v="Training &amp; Development"/>
    <x v="5"/>
    <x v="0"/>
    <n v="1753.81"/>
    <x v="0"/>
  </r>
  <r>
    <d v="2025-07-01T00:00:00"/>
    <x v="6"/>
    <s v="D05"/>
    <x v="4"/>
    <s v="5700"/>
    <s v="Training &amp; Development"/>
    <x v="5"/>
    <x v="1"/>
    <n v="1664"/>
    <x v="0"/>
  </r>
  <r>
    <d v="2025-08-01T00:00:00"/>
    <x v="7"/>
    <s v="D01"/>
    <x v="0"/>
    <s v="5000"/>
    <s v="Salaries"/>
    <x v="0"/>
    <x v="0"/>
    <n v="199754.43"/>
    <x v="0"/>
  </r>
  <r>
    <d v="2025-08-01T00:00:00"/>
    <x v="7"/>
    <s v="D01"/>
    <x v="0"/>
    <s v="5000"/>
    <s v="Salaries"/>
    <x v="0"/>
    <x v="1"/>
    <n v="200850"/>
    <x v="0"/>
  </r>
  <r>
    <d v="2025-08-01T00:00:00"/>
    <x v="7"/>
    <s v="D01"/>
    <x v="0"/>
    <s v="5100"/>
    <s v="Benefits"/>
    <x v="0"/>
    <x v="0"/>
    <n v="43018.98"/>
    <x v="0"/>
  </r>
  <r>
    <d v="2025-08-01T00:00:00"/>
    <x v="7"/>
    <s v="D01"/>
    <x v="0"/>
    <s v="5100"/>
    <s v="Benefits"/>
    <x v="0"/>
    <x v="1"/>
    <n v="44187"/>
    <x v="0"/>
  </r>
  <r>
    <d v="2025-08-01T00:00:00"/>
    <x v="7"/>
    <s v="D01"/>
    <x v="0"/>
    <s v="5200"/>
    <s v="Occupancy &amp; Facilities"/>
    <x v="1"/>
    <x v="0"/>
    <n v="37208.720000000001"/>
    <x v="0"/>
  </r>
  <r>
    <d v="2025-08-01T00:00:00"/>
    <x v="7"/>
    <s v="D01"/>
    <x v="0"/>
    <s v="5200"/>
    <s v="Occupancy &amp; Facilities"/>
    <x v="1"/>
    <x v="1"/>
    <n v="38000"/>
    <x v="0"/>
  </r>
  <r>
    <d v="2025-08-01T00:00:00"/>
    <x v="7"/>
    <s v="D01"/>
    <x v="0"/>
    <s v="5300"/>
    <s v="IT Software &amp; Subscriptions"/>
    <x v="2"/>
    <x v="0"/>
    <n v="12188.06"/>
    <x v="0"/>
  </r>
  <r>
    <d v="2025-08-01T00:00:00"/>
    <x v="7"/>
    <s v="D01"/>
    <x v="0"/>
    <s v="5300"/>
    <s v="IT Software &amp; Subscriptions"/>
    <x v="2"/>
    <x v="1"/>
    <n v="12480"/>
    <x v="0"/>
  </r>
  <r>
    <d v="2025-08-01T00:00:00"/>
    <x v="7"/>
    <s v="D01"/>
    <x v="0"/>
    <s v="5400"/>
    <s v="Marketing &amp; Advertising"/>
    <x v="3"/>
    <x v="0"/>
    <n v="3799.62"/>
    <x v="0"/>
  </r>
  <r>
    <d v="2025-08-01T00:00:00"/>
    <x v="7"/>
    <s v="D01"/>
    <x v="0"/>
    <s v="5400"/>
    <s v="Marketing &amp; Advertising"/>
    <x v="3"/>
    <x v="1"/>
    <n v="4160"/>
    <x v="0"/>
  </r>
  <r>
    <d v="2025-08-01T00:00:00"/>
    <x v="7"/>
    <s v="D01"/>
    <x v="0"/>
    <s v="5500"/>
    <s v="Professional Services"/>
    <x v="4"/>
    <x v="0"/>
    <n v="5232.5200000000004"/>
    <x v="0"/>
  </r>
  <r>
    <d v="2025-08-01T00:00:00"/>
    <x v="7"/>
    <s v="D01"/>
    <x v="0"/>
    <s v="5500"/>
    <s v="Professional Services"/>
    <x v="4"/>
    <x v="1"/>
    <n v="5200"/>
    <x v="0"/>
  </r>
  <r>
    <d v="2025-08-01T00:00:00"/>
    <x v="7"/>
    <s v="D01"/>
    <x v="0"/>
    <s v="5600"/>
    <s v="Office Supplies"/>
    <x v="5"/>
    <x v="0"/>
    <n v="1575.59"/>
    <x v="0"/>
  </r>
  <r>
    <d v="2025-08-01T00:00:00"/>
    <x v="7"/>
    <s v="D01"/>
    <x v="0"/>
    <s v="5600"/>
    <s v="Office Supplies"/>
    <x v="5"/>
    <x v="1"/>
    <n v="1560"/>
    <x v="0"/>
  </r>
  <r>
    <d v="2025-08-01T00:00:00"/>
    <x v="7"/>
    <s v="D01"/>
    <x v="0"/>
    <s v="5700"/>
    <s v="Training &amp; Development"/>
    <x v="5"/>
    <x v="0"/>
    <n v="1229.92"/>
    <x v="0"/>
  </r>
  <r>
    <d v="2025-08-01T00:00:00"/>
    <x v="7"/>
    <s v="D01"/>
    <x v="0"/>
    <s v="5700"/>
    <s v="Training &amp; Development"/>
    <x v="5"/>
    <x v="1"/>
    <n v="1248"/>
    <x v="0"/>
  </r>
  <r>
    <d v="2025-08-01T00:00:00"/>
    <x v="7"/>
    <s v="D02"/>
    <x v="1"/>
    <s v="5000"/>
    <s v="Salaries"/>
    <x v="0"/>
    <x v="0"/>
    <n v="168099.07"/>
    <x v="0"/>
  </r>
  <r>
    <d v="2025-08-01T00:00:00"/>
    <x v="7"/>
    <s v="D02"/>
    <x v="1"/>
    <s v="5000"/>
    <s v="Salaries"/>
    <x v="0"/>
    <x v="1"/>
    <n v="173040"/>
    <x v="0"/>
  </r>
  <r>
    <d v="2025-08-01T00:00:00"/>
    <x v="7"/>
    <s v="D02"/>
    <x v="1"/>
    <s v="5100"/>
    <s v="Benefits"/>
    <x v="0"/>
    <x v="0"/>
    <n v="38634.97"/>
    <x v="0"/>
  </r>
  <r>
    <d v="2025-08-01T00:00:00"/>
    <x v="7"/>
    <s v="D02"/>
    <x v="1"/>
    <s v="5100"/>
    <s v="Benefits"/>
    <x v="0"/>
    <x v="1"/>
    <n v="38068.800000000003"/>
    <x v="0"/>
  </r>
  <r>
    <d v="2025-08-01T00:00:00"/>
    <x v="7"/>
    <s v="D02"/>
    <x v="1"/>
    <s v="5200"/>
    <s v="Occupancy &amp; Facilities"/>
    <x v="1"/>
    <x v="0"/>
    <n v="17098.8"/>
    <x v="0"/>
  </r>
  <r>
    <d v="2025-08-01T00:00:00"/>
    <x v="7"/>
    <s v="D02"/>
    <x v="1"/>
    <s v="5200"/>
    <s v="Occupancy &amp; Facilities"/>
    <x v="1"/>
    <x v="1"/>
    <n v="16000"/>
    <x v="0"/>
  </r>
  <r>
    <d v="2025-08-01T00:00:00"/>
    <x v="7"/>
    <s v="D02"/>
    <x v="1"/>
    <s v="5300"/>
    <s v="IT Software &amp; Subscriptions"/>
    <x v="2"/>
    <x v="0"/>
    <n v="9374.32"/>
    <x v="0"/>
  </r>
  <r>
    <d v="2025-08-01T00:00:00"/>
    <x v="7"/>
    <s v="D02"/>
    <x v="1"/>
    <s v="5300"/>
    <s v="IT Software &amp; Subscriptions"/>
    <x v="2"/>
    <x v="1"/>
    <n v="9360"/>
    <x v="0"/>
  </r>
  <r>
    <d v="2025-08-01T00:00:00"/>
    <x v="7"/>
    <s v="D02"/>
    <x v="1"/>
    <s v="5400"/>
    <s v="Marketing &amp; Advertising"/>
    <x v="3"/>
    <x v="0"/>
    <n v="6113.29"/>
    <x v="0"/>
  </r>
  <r>
    <d v="2025-08-01T00:00:00"/>
    <x v="7"/>
    <s v="D02"/>
    <x v="1"/>
    <s v="5400"/>
    <s v="Marketing &amp; Advertising"/>
    <x v="3"/>
    <x v="1"/>
    <n v="6240"/>
    <x v="0"/>
  </r>
  <r>
    <d v="2025-08-01T00:00:00"/>
    <x v="7"/>
    <s v="D02"/>
    <x v="1"/>
    <s v="5500"/>
    <s v="Professional Services"/>
    <x v="4"/>
    <x v="0"/>
    <n v="20123.169999999998"/>
    <x v="0"/>
  </r>
  <r>
    <d v="2025-08-01T00:00:00"/>
    <x v="7"/>
    <s v="D02"/>
    <x v="1"/>
    <s v="5500"/>
    <s v="Professional Services"/>
    <x v="4"/>
    <x v="1"/>
    <n v="8320"/>
    <x v="0"/>
  </r>
  <r>
    <d v="2025-08-01T00:00:00"/>
    <x v="7"/>
    <s v="D02"/>
    <x v="1"/>
    <s v="5600"/>
    <s v="Office Supplies"/>
    <x v="5"/>
    <x v="0"/>
    <n v="933.39"/>
    <x v="0"/>
  </r>
  <r>
    <d v="2025-08-01T00:00:00"/>
    <x v="7"/>
    <s v="D02"/>
    <x v="1"/>
    <s v="5600"/>
    <s v="Office Supplies"/>
    <x v="5"/>
    <x v="1"/>
    <n v="936"/>
    <x v="0"/>
  </r>
  <r>
    <d v="2025-08-01T00:00:00"/>
    <x v="7"/>
    <s v="D02"/>
    <x v="1"/>
    <s v="5700"/>
    <s v="Training &amp; Development"/>
    <x v="5"/>
    <x v="0"/>
    <n v="1382.34"/>
    <x v="0"/>
  </r>
  <r>
    <d v="2025-08-01T00:00:00"/>
    <x v="7"/>
    <s v="D02"/>
    <x v="1"/>
    <s v="5700"/>
    <s v="Training &amp; Development"/>
    <x v="5"/>
    <x v="1"/>
    <n v="1456"/>
    <x v="0"/>
  </r>
  <r>
    <d v="2025-08-01T00:00:00"/>
    <x v="7"/>
    <s v="D03"/>
    <x v="2"/>
    <s v="5000"/>
    <s v="Salaries"/>
    <x v="0"/>
    <x v="0"/>
    <n v="150651.37"/>
    <x v="0"/>
  </r>
  <r>
    <d v="2025-08-01T00:00:00"/>
    <x v="7"/>
    <s v="D03"/>
    <x v="2"/>
    <s v="5000"/>
    <s v="Salaries"/>
    <x v="0"/>
    <x v="1"/>
    <n v="151410"/>
    <x v="0"/>
  </r>
  <r>
    <d v="2025-08-01T00:00:00"/>
    <x v="7"/>
    <s v="D03"/>
    <x v="2"/>
    <s v="5100"/>
    <s v="Benefits"/>
    <x v="0"/>
    <x v="0"/>
    <n v="33391.72"/>
    <x v="0"/>
  </r>
  <r>
    <d v="2025-08-01T00:00:00"/>
    <x v="7"/>
    <s v="D03"/>
    <x v="2"/>
    <s v="5100"/>
    <s v="Benefits"/>
    <x v="0"/>
    <x v="1"/>
    <n v="33310.199999999997"/>
    <x v="0"/>
  </r>
  <r>
    <d v="2025-08-01T00:00:00"/>
    <x v="7"/>
    <s v="D03"/>
    <x v="2"/>
    <s v="5200"/>
    <s v="Occupancy &amp; Facilities"/>
    <x v="1"/>
    <x v="0"/>
    <n v="9664.08"/>
    <x v="0"/>
  </r>
  <r>
    <d v="2025-08-01T00:00:00"/>
    <x v="7"/>
    <s v="D03"/>
    <x v="2"/>
    <s v="5200"/>
    <s v="Occupancy &amp; Facilities"/>
    <x v="1"/>
    <x v="1"/>
    <n v="9000"/>
    <x v="0"/>
  </r>
  <r>
    <d v="2025-08-01T00:00:00"/>
    <x v="7"/>
    <s v="D03"/>
    <x v="2"/>
    <s v="5300"/>
    <s v="IT Software &amp; Subscriptions"/>
    <x v="2"/>
    <x v="0"/>
    <n v="45328.44"/>
    <x v="0"/>
  </r>
  <r>
    <d v="2025-08-01T00:00:00"/>
    <x v="7"/>
    <s v="D03"/>
    <x v="2"/>
    <s v="5300"/>
    <s v="IT Software &amp; Subscriptions"/>
    <x v="2"/>
    <x v="1"/>
    <n v="43680"/>
    <x v="0"/>
  </r>
  <r>
    <d v="2025-08-01T00:00:00"/>
    <x v="7"/>
    <s v="D03"/>
    <x v="2"/>
    <s v="5400"/>
    <s v="Marketing &amp; Advertising"/>
    <x v="3"/>
    <x v="0"/>
    <n v="1624.52"/>
    <x v="0"/>
  </r>
  <r>
    <d v="2025-08-01T00:00:00"/>
    <x v="7"/>
    <s v="D03"/>
    <x v="2"/>
    <s v="5400"/>
    <s v="Marketing &amp; Advertising"/>
    <x v="3"/>
    <x v="1"/>
    <n v="1560"/>
    <x v="0"/>
  </r>
  <r>
    <d v="2025-08-01T00:00:00"/>
    <x v="7"/>
    <s v="D03"/>
    <x v="2"/>
    <s v="5500"/>
    <s v="Professional Services"/>
    <x v="4"/>
    <x v="0"/>
    <n v="24124.1"/>
    <x v="0"/>
  </r>
  <r>
    <d v="2025-08-01T00:00:00"/>
    <x v="7"/>
    <s v="D03"/>
    <x v="2"/>
    <s v="5500"/>
    <s v="Professional Services"/>
    <x v="4"/>
    <x v="1"/>
    <n v="12480"/>
    <x v="0"/>
  </r>
  <r>
    <d v="2025-08-01T00:00:00"/>
    <x v="7"/>
    <s v="D03"/>
    <x v="2"/>
    <s v="5600"/>
    <s v="Office Supplies"/>
    <x v="5"/>
    <x v="0"/>
    <n v="854.29"/>
    <x v="0"/>
  </r>
  <r>
    <d v="2025-08-01T00:00:00"/>
    <x v="7"/>
    <s v="D03"/>
    <x v="2"/>
    <s v="5600"/>
    <s v="Office Supplies"/>
    <x v="5"/>
    <x v="1"/>
    <n v="832"/>
    <x v="0"/>
  </r>
  <r>
    <d v="2025-08-01T00:00:00"/>
    <x v="7"/>
    <s v="D03"/>
    <x v="2"/>
    <s v="5700"/>
    <s v="Training &amp; Development"/>
    <x v="5"/>
    <x v="0"/>
    <n v="1786.68"/>
    <x v="0"/>
  </r>
  <r>
    <d v="2025-08-01T00:00:00"/>
    <x v="7"/>
    <s v="D03"/>
    <x v="2"/>
    <s v="5700"/>
    <s v="Training &amp; Development"/>
    <x v="5"/>
    <x v="1"/>
    <n v="1872"/>
    <x v="0"/>
  </r>
  <r>
    <d v="2025-08-01T00:00:00"/>
    <x v="7"/>
    <s v="D04"/>
    <x v="3"/>
    <s v="5000"/>
    <s v="Salaries"/>
    <x v="0"/>
    <x v="0"/>
    <n v="65178.3"/>
    <x v="0"/>
  </r>
  <r>
    <d v="2025-08-01T00:00:00"/>
    <x v="7"/>
    <s v="D04"/>
    <x v="3"/>
    <s v="5000"/>
    <s v="Salaries"/>
    <x v="0"/>
    <x v="1"/>
    <n v="64375"/>
    <x v="0"/>
  </r>
  <r>
    <d v="2025-08-01T00:00:00"/>
    <x v="7"/>
    <s v="D04"/>
    <x v="3"/>
    <s v="5100"/>
    <s v="Benefits"/>
    <x v="0"/>
    <x v="0"/>
    <n v="14399.71"/>
    <x v="0"/>
  </r>
  <r>
    <d v="2025-08-01T00:00:00"/>
    <x v="7"/>
    <s v="D04"/>
    <x v="3"/>
    <s v="5100"/>
    <s v="Benefits"/>
    <x v="0"/>
    <x v="1"/>
    <n v="14162.5"/>
    <x v="0"/>
  </r>
  <r>
    <d v="2025-08-01T00:00:00"/>
    <x v="7"/>
    <s v="D04"/>
    <x v="3"/>
    <s v="5200"/>
    <s v="Occupancy &amp; Facilities"/>
    <x v="1"/>
    <x v="0"/>
    <n v="5816.06"/>
    <x v="0"/>
  </r>
  <r>
    <d v="2025-08-01T00:00:00"/>
    <x v="7"/>
    <s v="D04"/>
    <x v="3"/>
    <s v="5200"/>
    <s v="Occupancy &amp; Facilities"/>
    <x v="1"/>
    <x v="1"/>
    <n v="6000"/>
    <x v="0"/>
  </r>
  <r>
    <d v="2025-08-01T00:00:00"/>
    <x v="7"/>
    <s v="D04"/>
    <x v="3"/>
    <s v="5300"/>
    <s v="IT Software &amp; Subscriptions"/>
    <x v="2"/>
    <x v="0"/>
    <n v="7862.22"/>
    <x v="0"/>
  </r>
  <r>
    <d v="2025-08-01T00:00:00"/>
    <x v="7"/>
    <s v="D04"/>
    <x v="3"/>
    <s v="5300"/>
    <s v="IT Software &amp; Subscriptions"/>
    <x v="2"/>
    <x v="1"/>
    <n v="7280"/>
    <x v="0"/>
  </r>
  <r>
    <d v="2025-08-01T00:00:00"/>
    <x v="7"/>
    <s v="D04"/>
    <x v="3"/>
    <s v="5400"/>
    <s v="Marketing &amp; Advertising"/>
    <x v="3"/>
    <x v="0"/>
    <n v="29780.880000000001"/>
    <x v="0"/>
  </r>
  <r>
    <d v="2025-08-01T00:00:00"/>
    <x v="7"/>
    <s v="D04"/>
    <x v="3"/>
    <s v="5400"/>
    <s v="Marketing &amp; Advertising"/>
    <x v="3"/>
    <x v="1"/>
    <n v="29120"/>
    <x v="0"/>
  </r>
  <r>
    <d v="2025-08-01T00:00:00"/>
    <x v="7"/>
    <s v="D04"/>
    <x v="3"/>
    <s v="5500"/>
    <s v="Professional Services"/>
    <x v="4"/>
    <x v="0"/>
    <n v="5765.08"/>
    <x v="0"/>
  </r>
  <r>
    <d v="2025-08-01T00:00:00"/>
    <x v="7"/>
    <s v="D04"/>
    <x v="3"/>
    <s v="5500"/>
    <s v="Professional Services"/>
    <x v="4"/>
    <x v="1"/>
    <n v="6240"/>
    <x v="0"/>
  </r>
  <r>
    <d v="2025-08-01T00:00:00"/>
    <x v="7"/>
    <s v="D04"/>
    <x v="3"/>
    <s v="5600"/>
    <s v="Office Supplies"/>
    <x v="5"/>
    <x v="0"/>
    <n v="744.1"/>
    <x v="0"/>
  </r>
  <r>
    <d v="2025-08-01T00:00:00"/>
    <x v="7"/>
    <s v="D04"/>
    <x v="3"/>
    <s v="5600"/>
    <s v="Office Supplies"/>
    <x v="5"/>
    <x v="1"/>
    <n v="728"/>
    <x v="0"/>
  </r>
  <r>
    <d v="2025-08-01T00:00:00"/>
    <x v="7"/>
    <s v="D04"/>
    <x v="3"/>
    <s v="5700"/>
    <s v="Training &amp; Development"/>
    <x v="5"/>
    <x v="0"/>
    <n v="1125.3599999999999"/>
    <x v="0"/>
  </r>
  <r>
    <d v="2025-08-01T00:00:00"/>
    <x v="7"/>
    <s v="D04"/>
    <x v="3"/>
    <s v="5700"/>
    <s v="Training &amp; Development"/>
    <x v="5"/>
    <x v="1"/>
    <n v="1144"/>
    <x v="0"/>
  </r>
  <r>
    <d v="2025-08-01T00:00:00"/>
    <x v="7"/>
    <s v="D05"/>
    <x v="4"/>
    <s v="5000"/>
    <s v="Salaries"/>
    <x v="0"/>
    <x v="0"/>
    <n v="53562.95"/>
    <x v="0"/>
  </r>
  <r>
    <d v="2025-08-01T00:00:00"/>
    <x v="7"/>
    <s v="D05"/>
    <x v="4"/>
    <s v="5000"/>
    <s v="Salaries"/>
    <x v="0"/>
    <x v="1"/>
    <n v="53560"/>
    <x v="0"/>
  </r>
  <r>
    <d v="2025-08-01T00:00:00"/>
    <x v="7"/>
    <s v="D05"/>
    <x v="4"/>
    <s v="5100"/>
    <s v="Benefits"/>
    <x v="0"/>
    <x v="0"/>
    <n v="12002.73"/>
    <x v="0"/>
  </r>
  <r>
    <d v="2025-08-01T00:00:00"/>
    <x v="7"/>
    <s v="D05"/>
    <x v="4"/>
    <s v="5100"/>
    <s v="Benefits"/>
    <x v="0"/>
    <x v="1"/>
    <n v="11783.2"/>
    <x v="0"/>
  </r>
  <r>
    <d v="2025-08-01T00:00:00"/>
    <x v="7"/>
    <s v="D05"/>
    <x v="4"/>
    <s v="5200"/>
    <s v="Occupancy &amp; Facilities"/>
    <x v="1"/>
    <x v="0"/>
    <n v="4062.49"/>
    <x v="0"/>
  </r>
  <r>
    <d v="2025-08-01T00:00:00"/>
    <x v="7"/>
    <s v="D05"/>
    <x v="4"/>
    <s v="5200"/>
    <s v="Occupancy &amp; Facilities"/>
    <x v="1"/>
    <x v="1"/>
    <n v="4000"/>
    <x v="0"/>
  </r>
  <r>
    <d v="2025-08-01T00:00:00"/>
    <x v="7"/>
    <s v="D05"/>
    <x v="4"/>
    <s v="5300"/>
    <s v="IT Software &amp; Subscriptions"/>
    <x v="2"/>
    <x v="0"/>
    <n v="4775.8599999999997"/>
    <x v="0"/>
  </r>
  <r>
    <d v="2025-08-01T00:00:00"/>
    <x v="7"/>
    <s v="D05"/>
    <x v="4"/>
    <s v="5300"/>
    <s v="IT Software &amp; Subscriptions"/>
    <x v="2"/>
    <x v="1"/>
    <n v="5200"/>
    <x v="0"/>
  </r>
  <r>
    <d v="2025-08-01T00:00:00"/>
    <x v="7"/>
    <s v="D05"/>
    <x v="4"/>
    <s v="5400"/>
    <s v="Marketing &amp; Advertising"/>
    <x v="3"/>
    <x v="0"/>
    <n v="1190.18"/>
    <x v="0"/>
  </r>
  <r>
    <d v="2025-08-01T00:00:00"/>
    <x v="7"/>
    <s v="D05"/>
    <x v="4"/>
    <s v="5400"/>
    <s v="Marketing &amp; Advertising"/>
    <x v="3"/>
    <x v="1"/>
    <n v="1248"/>
    <x v="0"/>
  </r>
  <r>
    <d v="2025-08-01T00:00:00"/>
    <x v="7"/>
    <s v="D05"/>
    <x v="4"/>
    <s v="5500"/>
    <s v="Professional Services"/>
    <x v="4"/>
    <x v="0"/>
    <n v="3752.49"/>
    <x v="0"/>
  </r>
  <r>
    <d v="2025-08-01T00:00:00"/>
    <x v="7"/>
    <s v="D05"/>
    <x v="4"/>
    <s v="5500"/>
    <s v="Professional Services"/>
    <x v="4"/>
    <x v="1"/>
    <n v="3640"/>
    <x v="0"/>
  </r>
  <r>
    <d v="2025-08-01T00:00:00"/>
    <x v="7"/>
    <s v="D05"/>
    <x v="4"/>
    <s v="5600"/>
    <s v="Office Supplies"/>
    <x v="5"/>
    <x v="0"/>
    <n v="656.48"/>
    <x v="0"/>
  </r>
  <r>
    <d v="2025-08-01T00:00:00"/>
    <x v="7"/>
    <s v="D05"/>
    <x v="4"/>
    <s v="5600"/>
    <s v="Office Supplies"/>
    <x v="5"/>
    <x v="1"/>
    <n v="624"/>
    <x v="0"/>
  </r>
  <r>
    <d v="2025-08-01T00:00:00"/>
    <x v="7"/>
    <s v="D05"/>
    <x v="4"/>
    <s v="5700"/>
    <s v="Training &amp; Development"/>
    <x v="5"/>
    <x v="0"/>
    <n v="1790.67"/>
    <x v="0"/>
  </r>
  <r>
    <d v="2025-08-01T00:00:00"/>
    <x v="7"/>
    <s v="D05"/>
    <x v="4"/>
    <s v="5700"/>
    <s v="Training &amp; Development"/>
    <x v="5"/>
    <x v="1"/>
    <n v="1664"/>
    <x v="0"/>
  </r>
  <r>
    <d v="2025-09-01T00:00:00"/>
    <x v="8"/>
    <s v="D01"/>
    <x v="0"/>
    <s v="5000"/>
    <s v="Salaries"/>
    <x v="0"/>
    <x v="0"/>
    <n v="215336.65"/>
    <x v="0"/>
  </r>
  <r>
    <d v="2025-09-01T00:00:00"/>
    <x v="8"/>
    <s v="D01"/>
    <x v="0"/>
    <s v="5000"/>
    <s v="Salaries"/>
    <x v="0"/>
    <x v="1"/>
    <n v="200850"/>
    <x v="0"/>
  </r>
  <r>
    <d v="2025-09-01T00:00:00"/>
    <x v="8"/>
    <s v="D01"/>
    <x v="0"/>
    <s v="5100"/>
    <s v="Benefits"/>
    <x v="0"/>
    <x v="0"/>
    <n v="40553.879999999997"/>
    <x v="0"/>
  </r>
  <r>
    <d v="2025-09-01T00:00:00"/>
    <x v="8"/>
    <s v="D01"/>
    <x v="0"/>
    <s v="5100"/>
    <s v="Benefits"/>
    <x v="0"/>
    <x v="1"/>
    <n v="44187"/>
    <x v="0"/>
  </r>
  <r>
    <d v="2025-09-01T00:00:00"/>
    <x v="8"/>
    <s v="D01"/>
    <x v="0"/>
    <s v="5200"/>
    <s v="Occupancy &amp; Facilities"/>
    <x v="1"/>
    <x v="0"/>
    <n v="39169.61"/>
    <x v="0"/>
  </r>
  <r>
    <d v="2025-09-01T00:00:00"/>
    <x v="8"/>
    <s v="D01"/>
    <x v="0"/>
    <s v="5200"/>
    <s v="Occupancy &amp; Facilities"/>
    <x v="1"/>
    <x v="1"/>
    <n v="38000"/>
    <x v="0"/>
  </r>
  <r>
    <d v="2025-09-01T00:00:00"/>
    <x v="8"/>
    <s v="D01"/>
    <x v="0"/>
    <s v="5300"/>
    <s v="IT Software &amp; Subscriptions"/>
    <x v="2"/>
    <x v="0"/>
    <n v="11523.39"/>
    <x v="0"/>
  </r>
  <r>
    <d v="2025-09-01T00:00:00"/>
    <x v="8"/>
    <s v="D01"/>
    <x v="0"/>
    <s v="5300"/>
    <s v="IT Software &amp; Subscriptions"/>
    <x v="2"/>
    <x v="1"/>
    <n v="12480"/>
    <x v="0"/>
  </r>
  <r>
    <d v="2025-09-01T00:00:00"/>
    <x v="8"/>
    <s v="D01"/>
    <x v="0"/>
    <s v="5400"/>
    <s v="Marketing &amp; Advertising"/>
    <x v="3"/>
    <x v="0"/>
    <n v="5757.05"/>
    <x v="0"/>
  </r>
  <r>
    <d v="2025-09-01T00:00:00"/>
    <x v="8"/>
    <s v="D01"/>
    <x v="0"/>
    <s v="5400"/>
    <s v="Marketing &amp; Advertising"/>
    <x v="3"/>
    <x v="1"/>
    <n v="5408"/>
    <x v="0"/>
  </r>
  <r>
    <d v="2025-09-01T00:00:00"/>
    <x v="8"/>
    <s v="D01"/>
    <x v="0"/>
    <s v="5500"/>
    <s v="Professional Services"/>
    <x v="4"/>
    <x v="0"/>
    <n v="5252.7"/>
    <x v="0"/>
  </r>
  <r>
    <d v="2025-09-01T00:00:00"/>
    <x v="8"/>
    <s v="D01"/>
    <x v="0"/>
    <s v="5500"/>
    <s v="Professional Services"/>
    <x v="4"/>
    <x v="1"/>
    <n v="5200"/>
    <x v="0"/>
  </r>
  <r>
    <d v="2025-09-01T00:00:00"/>
    <x v="8"/>
    <s v="D01"/>
    <x v="0"/>
    <s v="5600"/>
    <s v="Office Supplies"/>
    <x v="5"/>
    <x v="0"/>
    <n v="1488.79"/>
    <x v="0"/>
  </r>
  <r>
    <d v="2025-09-01T00:00:00"/>
    <x v="8"/>
    <s v="D01"/>
    <x v="0"/>
    <s v="5600"/>
    <s v="Office Supplies"/>
    <x v="5"/>
    <x v="1"/>
    <n v="1560"/>
    <x v="0"/>
  </r>
  <r>
    <d v="2025-09-01T00:00:00"/>
    <x v="8"/>
    <s v="D01"/>
    <x v="0"/>
    <s v="5700"/>
    <s v="Training &amp; Development"/>
    <x v="5"/>
    <x v="0"/>
    <n v="1348.33"/>
    <x v="0"/>
  </r>
  <r>
    <d v="2025-09-01T00:00:00"/>
    <x v="8"/>
    <s v="D01"/>
    <x v="0"/>
    <s v="5700"/>
    <s v="Training &amp; Development"/>
    <x v="5"/>
    <x v="1"/>
    <n v="1248"/>
    <x v="0"/>
  </r>
  <r>
    <d v="2025-09-01T00:00:00"/>
    <x v="8"/>
    <s v="D02"/>
    <x v="1"/>
    <s v="5000"/>
    <s v="Salaries"/>
    <x v="0"/>
    <x v="0"/>
    <n v="177497.31"/>
    <x v="0"/>
  </r>
  <r>
    <d v="2025-09-01T00:00:00"/>
    <x v="8"/>
    <s v="D02"/>
    <x v="1"/>
    <s v="5000"/>
    <s v="Salaries"/>
    <x v="0"/>
    <x v="1"/>
    <n v="173040"/>
    <x v="0"/>
  </r>
  <r>
    <d v="2025-09-01T00:00:00"/>
    <x v="8"/>
    <s v="D02"/>
    <x v="1"/>
    <s v="5100"/>
    <s v="Benefits"/>
    <x v="0"/>
    <x v="0"/>
    <n v="35189.050000000003"/>
    <x v="0"/>
  </r>
  <r>
    <d v="2025-09-01T00:00:00"/>
    <x v="8"/>
    <s v="D02"/>
    <x v="1"/>
    <s v="5100"/>
    <s v="Benefits"/>
    <x v="0"/>
    <x v="1"/>
    <n v="38068.800000000003"/>
    <x v="0"/>
  </r>
  <r>
    <d v="2025-09-01T00:00:00"/>
    <x v="8"/>
    <s v="D02"/>
    <x v="1"/>
    <s v="5200"/>
    <s v="Occupancy &amp; Facilities"/>
    <x v="1"/>
    <x v="0"/>
    <n v="16187.82"/>
    <x v="0"/>
  </r>
  <r>
    <d v="2025-09-01T00:00:00"/>
    <x v="8"/>
    <s v="D02"/>
    <x v="1"/>
    <s v="5200"/>
    <s v="Occupancy &amp; Facilities"/>
    <x v="1"/>
    <x v="1"/>
    <n v="16000"/>
    <x v="0"/>
  </r>
  <r>
    <d v="2025-09-01T00:00:00"/>
    <x v="8"/>
    <s v="D02"/>
    <x v="1"/>
    <s v="5300"/>
    <s v="IT Software &amp; Subscriptions"/>
    <x v="2"/>
    <x v="0"/>
    <n v="9086.26"/>
    <x v="0"/>
  </r>
  <r>
    <d v="2025-09-01T00:00:00"/>
    <x v="8"/>
    <s v="D02"/>
    <x v="1"/>
    <s v="5300"/>
    <s v="IT Software &amp; Subscriptions"/>
    <x v="2"/>
    <x v="1"/>
    <n v="9360"/>
    <x v="0"/>
  </r>
  <r>
    <d v="2025-09-01T00:00:00"/>
    <x v="8"/>
    <s v="D02"/>
    <x v="1"/>
    <s v="5400"/>
    <s v="Marketing &amp; Advertising"/>
    <x v="3"/>
    <x v="0"/>
    <n v="8148.11"/>
    <x v="0"/>
  </r>
  <r>
    <d v="2025-09-01T00:00:00"/>
    <x v="8"/>
    <s v="D02"/>
    <x v="1"/>
    <s v="5400"/>
    <s v="Marketing &amp; Advertising"/>
    <x v="3"/>
    <x v="1"/>
    <n v="8112"/>
    <x v="0"/>
  </r>
  <r>
    <d v="2025-09-01T00:00:00"/>
    <x v="8"/>
    <s v="D02"/>
    <x v="1"/>
    <s v="5500"/>
    <s v="Professional Services"/>
    <x v="4"/>
    <x v="0"/>
    <n v="8165.18"/>
    <x v="0"/>
  </r>
  <r>
    <d v="2025-09-01T00:00:00"/>
    <x v="8"/>
    <s v="D02"/>
    <x v="1"/>
    <s v="5500"/>
    <s v="Professional Services"/>
    <x v="4"/>
    <x v="1"/>
    <n v="8320"/>
    <x v="0"/>
  </r>
  <r>
    <d v="2025-09-01T00:00:00"/>
    <x v="8"/>
    <s v="D02"/>
    <x v="1"/>
    <s v="5600"/>
    <s v="Office Supplies"/>
    <x v="5"/>
    <x v="0"/>
    <n v="987.42"/>
    <x v="0"/>
  </r>
  <r>
    <d v="2025-09-01T00:00:00"/>
    <x v="8"/>
    <s v="D02"/>
    <x v="1"/>
    <s v="5600"/>
    <s v="Office Supplies"/>
    <x v="5"/>
    <x v="1"/>
    <n v="936"/>
    <x v="0"/>
  </r>
  <r>
    <d v="2025-09-01T00:00:00"/>
    <x v="8"/>
    <s v="D02"/>
    <x v="1"/>
    <s v="5700"/>
    <s v="Training &amp; Development"/>
    <x v="5"/>
    <x v="0"/>
    <n v="1373.11"/>
    <x v="0"/>
  </r>
  <r>
    <d v="2025-09-01T00:00:00"/>
    <x v="8"/>
    <s v="D02"/>
    <x v="1"/>
    <s v="5700"/>
    <s v="Training &amp; Development"/>
    <x v="5"/>
    <x v="1"/>
    <n v="1456"/>
    <x v="0"/>
  </r>
  <r>
    <d v="2025-09-01T00:00:00"/>
    <x v="8"/>
    <s v="D03"/>
    <x v="2"/>
    <s v="5000"/>
    <s v="Salaries"/>
    <x v="0"/>
    <x v="0"/>
    <n v="153332.32999999999"/>
    <x v="0"/>
  </r>
  <r>
    <d v="2025-09-01T00:00:00"/>
    <x v="8"/>
    <s v="D03"/>
    <x v="2"/>
    <s v="5000"/>
    <s v="Salaries"/>
    <x v="0"/>
    <x v="1"/>
    <n v="151410"/>
    <x v="0"/>
  </r>
  <r>
    <d v="2025-09-01T00:00:00"/>
    <x v="8"/>
    <s v="D03"/>
    <x v="2"/>
    <s v="5100"/>
    <s v="Benefits"/>
    <x v="0"/>
    <x v="0"/>
    <n v="35727.440000000002"/>
    <x v="0"/>
  </r>
  <r>
    <d v="2025-09-01T00:00:00"/>
    <x v="8"/>
    <s v="D03"/>
    <x v="2"/>
    <s v="5100"/>
    <s v="Benefits"/>
    <x v="0"/>
    <x v="1"/>
    <n v="33310.199999999997"/>
    <x v="0"/>
  </r>
  <r>
    <d v="2025-09-01T00:00:00"/>
    <x v="8"/>
    <s v="D03"/>
    <x v="2"/>
    <s v="5200"/>
    <s v="Occupancy &amp; Facilities"/>
    <x v="1"/>
    <x v="0"/>
    <n v="8702.2900000000009"/>
    <x v="0"/>
  </r>
  <r>
    <d v="2025-09-01T00:00:00"/>
    <x v="8"/>
    <s v="D03"/>
    <x v="2"/>
    <s v="5200"/>
    <s v="Occupancy &amp; Facilities"/>
    <x v="1"/>
    <x v="1"/>
    <n v="9000"/>
    <x v="0"/>
  </r>
  <r>
    <d v="2025-09-01T00:00:00"/>
    <x v="8"/>
    <s v="D03"/>
    <x v="2"/>
    <s v="5300"/>
    <s v="IT Software &amp; Subscriptions"/>
    <x v="2"/>
    <x v="0"/>
    <n v="44048.05"/>
    <x v="0"/>
  </r>
  <r>
    <d v="2025-09-01T00:00:00"/>
    <x v="8"/>
    <s v="D03"/>
    <x v="2"/>
    <s v="5300"/>
    <s v="IT Software &amp; Subscriptions"/>
    <x v="2"/>
    <x v="1"/>
    <n v="43680"/>
    <x v="0"/>
  </r>
  <r>
    <d v="2025-09-01T00:00:00"/>
    <x v="8"/>
    <s v="D03"/>
    <x v="2"/>
    <s v="5400"/>
    <s v="Marketing &amp; Advertising"/>
    <x v="3"/>
    <x v="0"/>
    <n v="2044.39"/>
    <x v="0"/>
  </r>
  <r>
    <d v="2025-09-01T00:00:00"/>
    <x v="8"/>
    <s v="D03"/>
    <x v="2"/>
    <s v="5400"/>
    <s v="Marketing &amp; Advertising"/>
    <x v="3"/>
    <x v="1"/>
    <n v="2028"/>
    <x v="0"/>
  </r>
  <r>
    <d v="2025-09-01T00:00:00"/>
    <x v="8"/>
    <s v="D03"/>
    <x v="2"/>
    <s v="5500"/>
    <s v="Professional Services"/>
    <x v="4"/>
    <x v="0"/>
    <n v="12135.7"/>
    <x v="0"/>
  </r>
  <r>
    <d v="2025-09-01T00:00:00"/>
    <x v="8"/>
    <s v="D03"/>
    <x v="2"/>
    <s v="5500"/>
    <s v="Professional Services"/>
    <x v="4"/>
    <x v="1"/>
    <n v="12480"/>
    <x v="0"/>
  </r>
  <r>
    <d v="2025-09-01T00:00:00"/>
    <x v="8"/>
    <s v="D03"/>
    <x v="2"/>
    <s v="5600"/>
    <s v="Office Supplies"/>
    <x v="5"/>
    <x v="0"/>
    <n v="853.56"/>
    <x v="0"/>
  </r>
  <r>
    <d v="2025-09-01T00:00:00"/>
    <x v="8"/>
    <s v="D03"/>
    <x v="2"/>
    <s v="5600"/>
    <s v="Office Supplies"/>
    <x v="5"/>
    <x v="1"/>
    <n v="832"/>
    <x v="0"/>
  </r>
  <r>
    <d v="2025-09-01T00:00:00"/>
    <x v="8"/>
    <s v="D03"/>
    <x v="2"/>
    <s v="5700"/>
    <s v="Training &amp; Development"/>
    <x v="5"/>
    <x v="0"/>
    <n v="1879.27"/>
    <x v="0"/>
  </r>
  <r>
    <d v="2025-09-01T00:00:00"/>
    <x v="8"/>
    <s v="D03"/>
    <x v="2"/>
    <s v="5700"/>
    <s v="Training &amp; Development"/>
    <x v="5"/>
    <x v="1"/>
    <n v="1872"/>
    <x v="0"/>
  </r>
  <r>
    <d v="2025-09-01T00:00:00"/>
    <x v="8"/>
    <s v="D04"/>
    <x v="3"/>
    <s v="5000"/>
    <s v="Salaries"/>
    <x v="0"/>
    <x v="0"/>
    <n v="61944.800000000003"/>
    <x v="0"/>
  </r>
  <r>
    <d v="2025-09-01T00:00:00"/>
    <x v="8"/>
    <s v="D04"/>
    <x v="3"/>
    <s v="5000"/>
    <s v="Salaries"/>
    <x v="0"/>
    <x v="1"/>
    <n v="64375"/>
    <x v="0"/>
  </r>
  <r>
    <d v="2025-09-01T00:00:00"/>
    <x v="8"/>
    <s v="D04"/>
    <x v="3"/>
    <s v="5100"/>
    <s v="Benefits"/>
    <x v="0"/>
    <x v="0"/>
    <n v="15160.68"/>
    <x v="0"/>
  </r>
  <r>
    <d v="2025-09-01T00:00:00"/>
    <x v="8"/>
    <s v="D04"/>
    <x v="3"/>
    <s v="5100"/>
    <s v="Benefits"/>
    <x v="0"/>
    <x v="1"/>
    <n v="14162.5"/>
    <x v="0"/>
  </r>
  <r>
    <d v="2025-09-01T00:00:00"/>
    <x v="8"/>
    <s v="D04"/>
    <x v="3"/>
    <s v="5200"/>
    <s v="Occupancy &amp; Facilities"/>
    <x v="1"/>
    <x v="0"/>
    <n v="6189.99"/>
    <x v="0"/>
  </r>
  <r>
    <d v="2025-09-01T00:00:00"/>
    <x v="8"/>
    <s v="D04"/>
    <x v="3"/>
    <s v="5200"/>
    <s v="Occupancy &amp; Facilities"/>
    <x v="1"/>
    <x v="1"/>
    <n v="6000"/>
    <x v="0"/>
  </r>
  <r>
    <d v="2025-09-01T00:00:00"/>
    <x v="8"/>
    <s v="D04"/>
    <x v="3"/>
    <s v="5300"/>
    <s v="IT Software &amp; Subscriptions"/>
    <x v="2"/>
    <x v="0"/>
    <n v="7231.34"/>
    <x v="0"/>
  </r>
  <r>
    <d v="2025-09-01T00:00:00"/>
    <x v="8"/>
    <s v="D04"/>
    <x v="3"/>
    <s v="5300"/>
    <s v="IT Software &amp; Subscriptions"/>
    <x v="2"/>
    <x v="1"/>
    <n v="7280"/>
    <x v="0"/>
  </r>
  <r>
    <d v="2025-09-01T00:00:00"/>
    <x v="8"/>
    <s v="D04"/>
    <x v="3"/>
    <s v="5400"/>
    <s v="Marketing &amp; Advertising"/>
    <x v="3"/>
    <x v="0"/>
    <n v="36891.919999999998"/>
    <x v="0"/>
  </r>
  <r>
    <d v="2025-09-01T00:00:00"/>
    <x v="8"/>
    <s v="D04"/>
    <x v="3"/>
    <s v="5400"/>
    <s v="Marketing &amp; Advertising"/>
    <x v="3"/>
    <x v="1"/>
    <n v="37856"/>
    <x v="0"/>
  </r>
  <r>
    <d v="2025-09-01T00:00:00"/>
    <x v="8"/>
    <s v="D04"/>
    <x v="3"/>
    <s v="5500"/>
    <s v="Professional Services"/>
    <x v="4"/>
    <x v="0"/>
    <n v="6044.22"/>
    <x v="0"/>
  </r>
  <r>
    <d v="2025-09-01T00:00:00"/>
    <x v="8"/>
    <s v="D04"/>
    <x v="3"/>
    <s v="5500"/>
    <s v="Professional Services"/>
    <x v="4"/>
    <x v="1"/>
    <n v="6240"/>
    <x v="0"/>
  </r>
  <r>
    <d v="2025-09-01T00:00:00"/>
    <x v="8"/>
    <s v="D04"/>
    <x v="3"/>
    <s v="5600"/>
    <s v="Office Supplies"/>
    <x v="5"/>
    <x v="0"/>
    <n v="763.85"/>
    <x v="0"/>
  </r>
  <r>
    <d v="2025-09-01T00:00:00"/>
    <x v="8"/>
    <s v="D04"/>
    <x v="3"/>
    <s v="5600"/>
    <s v="Office Supplies"/>
    <x v="5"/>
    <x v="1"/>
    <n v="728"/>
    <x v="0"/>
  </r>
  <r>
    <d v="2025-09-01T00:00:00"/>
    <x v="8"/>
    <s v="D04"/>
    <x v="3"/>
    <s v="5700"/>
    <s v="Training &amp; Development"/>
    <x v="5"/>
    <x v="0"/>
    <n v="1137.3"/>
    <x v="0"/>
  </r>
  <r>
    <d v="2025-09-01T00:00:00"/>
    <x v="8"/>
    <s v="D04"/>
    <x v="3"/>
    <s v="5700"/>
    <s v="Training &amp; Development"/>
    <x v="5"/>
    <x v="1"/>
    <n v="1144"/>
    <x v="0"/>
  </r>
  <r>
    <d v="2025-09-01T00:00:00"/>
    <x v="8"/>
    <s v="D05"/>
    <x v="4"/>
    <s v="5000"/>
    <s v="Salaries"/>
    <x v="0"/>
    <x v="0"/>
    <n v="54544.3"/>
    <x v="0"/>
  </r>
  <r>
    <d v="2025-09-01T00:00:00"/>
    <x v="8"/>
    <s v="D05"/>
    <x v="4"/>
    <s v="5000"/>
    <s v="Salaries"/>
    <x v="0"/>
    <x v="1"/>
    <n v="53560"/>
    <x v="0"/>
  </r>
  <r>
    <d v="2025-09-01T00:00:00"/>
    <x v="8"/>
    <s v="D05"/>
    <x v="4"/>
    <s v="5100"/>
    <s v="Benefits"/>
    <x v="0"/>
    <x v="0"/>
    <n v="11696.26"/>
    <x v="0"/>
  </r>
  <r>
    <d v="2025-09-01T00:00:00"/>
    <x v="8"/>
    <s v="D05"/>
    <x v="4"/>
    <s v="5100"/>
    <s v="Benefits"/>
    <x v="0"/>
    <x v="1"/>
    <n v="11783.2"/>
    <x v="0"/>
  </r>
  <r>
    <d v="2025-09-01T00:00:00"/>
    <x v="8"/>
    <s v="D05"/>
    <x v="4"/>
    <s v="5200"/>
    <s v="Occupancy &amp; Facilities"/>
    <x v="1"/>
    <x v="0"/>
    <n v="4098.63"/>
    <x v="0"/>
  </r>
  <r>
    <d v="2025-09-01T00:00:00"/>
    <x v="8"/>
    <s v="D05"/>
    <x v="4"/>
    <s v="5200"/>
    <s v="Occupancy &amp; Facilities"/>
    <x v="1"/>
    <x v="1"/>
    <n v="4000"/>
    <x v="0"/>
  </r>
  <r>
    <d v="2025-09-01T00:00:00"/>
    <x v="8"/>
    <s v="D05"/>
    <x v="4"/>
    <s v="5300"/>
    <s v="IT Software &amp; Subscriptions"/>
    <x v="2"/>
    <x v="0"/>
    <n v="5175.88"/>
    <x v="0"/>
  </r>
  <r>
    <d v="2025-09-01T00:00:00"/>
    <x v="8"/>
    <s v="D05"/>
    <x v="4"/>
    <s v="5300"/>
    <s v="IT Software &amp; Subscriptions"/>
    <x v="2"/>
    <x v="1"/>
    <n v="5200"/>
    <x v="0"/>
  </r>
  <r>
    <d v="2025-09-01T00:00:00"/>
    <x v="8"/>
    <s v="D05"/>
    <x v="4"/>
    <s v="5400"/>
    <s v="Marketing &amp; Advertising"/>
    <x v="3"/>
    <x v="0"/>
    <n v="1671.97"/>
    <x v="0"/>
  </r>
  <r>
    <d v="2025-09-01T00:00:00"/>
    <x v="8"/>
    <s v="D05"/>
    <x v="4"/>
    <s v="5400"/>
    <s v="Marketing &amp; Advertising"/>
    <x v="3"/>
    <x v="1"/>
    <n v="1622.4"/>
    <x v="0"/>
  </r>
  <r>
    <d v="2025-09-01T00:00:00"/>
    <x v="8"/>
    <s v="D05"/>
    <x v="4"/>
    <s v="5500"/>
    <s v="Professional Services"/>
    <x v="4"/>
    <x v="0"/>
    <n v="3613.32"/>
    <x v="0"/>
  </r>
  <r>
    <d v="2025-09-01T00:00:00"/>
    <x v="8"/>
    <s v="D05"/>
    <x v="4"/>
    <s v="5500"/>
    <s v="Professional Services"/>
    <x v="4"/>
    <x v="1"/>
    <n v="3640"/>
    <x v="0"/>
  </r>
  <r>
    <d v="2025-09-01T00:00:00"/>
    <x v="8"/>
    <s v="D05"/>
    <x v="4"/>
    <s v="5600"/>
    <s v="Office Supplies"/>
    <x v="5"/>
    <x v="0"/>
    <n v="644.71"/>
    <x v="0"/>
  </r>
  <r>
    <d v="2025-09-01T00:00:00"/>
    <x v="8"/>
    <s v="D05"/>
    <x v="4"/>
    <s v="5600"/>
    <s v="Office Supplies"/>
    <x v="5"/>
    <x v="1"/>
    <n v="624"/>
    <x v="0"/>
  </r>
  <r>
    <d v="2025-09-01T00:00:00"/>
    <x v="8"/>
    <s v="D05"/>
    <x v="4"/>
    <s v="5700"/>
    <s v="Training &amp; Development"/>
    <x v="5"/>
    <x v="0"/>
    <n v="1708.75"/>
    <x v="0"/>
  </r>
  <r>
    <d v="2025-09-01T00:00:00"/>
    <x v="8"/>
    <s v="D05"/>
    <x v="4"/>
    <s v="5700"/>
    <s v="Training &amp; Development"/>
    <x v="5"/>
    <x v="1"/>
    <n v="1664"/>
    <x v="0"/>
  </r>
  <r>
    <d v="2025-10-01T00:00:00"/>
    <x v="9"/>
    <s v="D01"/>
    <x v="0"/>
    <s v="5000"/>
    <s v="Salaries"/>
    <x v="0"/>
    <x v="0"/>
    <n v="199913.16"/>
    <x v="0"/>
  </r>
  <r>
    <d v="2025-10-01T00:00:00"/>
    <x v="9"/>
    <s v="D01"/>
    <x v="0"/>
    <s v="5000"/>
    <s v="Salaries"/>
    <x v="0"/>
    <x v="1"/>
    <n v="200850"/>
    <x v="0"/>
  </r>
  <r>
    <d v="2025-10-01T00:00:00"/>
    <x v="9"/>
    <s v="D01"/>
    <x v="0"/>
    <s v="5100"/>
    <s v="Benefits"/>
    <x v="0"/>
    <x v="0"/>
    <n v="42667.360000000001"/>
    <x v="0"/>
  </r>
  <r>
    <d v="2025-10-01T00:00:00"/>
    <x v="9"/>
    <s v="D01"/>
    <x v="0"/>
    <s v="5100"/>
    <s v="Benefits"/>
    <x v="0"/>
    <x v="1"/>
    <n v="44187"/>
    <x v="0"/>
  </r>
  <r>
    <d v="2025-10-01T00:00:00"/>
    <x v="9"/>
    <s v="D01"/>
    <x v="0"/>
    <s v="5200"/>
    <s v="Occupancy &amp; Facilities"/>
    <x v="1"/>
    <x v="0"/>
    <n v="36571.019999999997"/>
    <x v="0"/>
  </r>
  <r>
    <d v="2025-10-01T00:00:00"/>
    <x v="9"/>
    <s v="D01"/>
    <x v="0"/>
    <s v="5200"/>
    <s v="Occupancy &amp; Facilities"/>
    <x v="1"/>
    <x v="1"/>
    <n v="38000"/>
    <x v="0"/>
  </r>
  <r>
    <d v="2025-10-01T00:00:00"/>
    <x v="9"/>
    <s v="D01"/>
    <x v="0"/>
    <s v="5300"/>
    <s v="IT Software &amp; Subscriptions"/>
    <x v="2"/>
    <x v="0"/>
    <n v="12110.22"/>
    <x v="0"/>
  </r>
  <r>
    <d v="2025-10-01T00:00:00"/>
    <x v="9"/>
    <s v="D01"/>
    <x v="0"/>
    <s v="5300"/>
    <s v="IT Software &amp; Subscriptions"/>
    <x v="2"/>
    <x v="1"/>
    <n v="12480"/>
    <x v="0"/>
  </r>
  <r>
    <d v="2025-10-01T00:00:00"/>
    <x v="9"/>
    <s v="D01"/>
    <x v="0"/>
    <s v="5400"/>
    <s v="Marketing &amp; Advertising"/>
    <x v="3"/>
    <x v="0"/>
    <n v="3996.18"/>
    <x v="0"/>
  </r>
  <r>
    <d v="2025-10-01T00:00:00"/>
    <x v="9"/>
    <s v="D01"/>
    <x v="0"/>
    <s v="5400"/>
    <s v="Marketing &amp; Advertising"/>
    <x v="3"/>
    <x v="1"/>
    <n v="4160"/>
    <x v="0"/>
  </r>
  <r>
    <d v="2025-10-01T00:00:00"/>
    <x v="9"/>
    <s v="D01"/>
    <x v="0"/>
    <s v="5500"/>
    <s v="Professional Services"/>
    <x v="4"/>
    <x v="0"/>
    <n v="5380.09"/>
    <x v="0"/>
  </r>
  <r>
    <d v="2025-10-01T00:00:00"/>
    <x v="9"/>
    <s v="D01"/>
    <x v="0"/>
    <s v="5500"/>
    <s v="Professional Services"/>
    <x v="4"/>
    <x v="1"/>
    <n v="5200"/>
    <x v="0"/>
  </r>
  <r>
    <d v="2025-10-01T00:00:00"/>
    <x v="9"/>
    <s v="D01"/>
    <x v="0"/>
    <s v="5600"/>
    <s v="Office Supplies"/>
    <x v="5"/>
    <x v="0"/>
    <n v="1557.09"/>
    <x v="0"/>
  </r>
  <r>
    <d v="2025-10-01T00:00:00"/>
    <x v="9"/>
    <s v="D01"/>
    <x v="0"/>
    <s v="5600"/>
    <s v="Office Supplies"/>
    <x v="5"/>
    <x v="1"/>
    <n v="1560"/>
    <x v="0"/>
  </r>
  <r>
    <d v="2025-10-01T00:00:00"/>
    <x v="9"/>
    <s v="D01"/>
    <x v="0"/>
    <s v="5700"/>
    <s v="Training &amp; Development"/>
    <x v="5"/>
    <x v="0"/>
    <n v="1326.38"/>
    <x v="0"/>
  </r>
  <r>
    <d v="2025-10-01T00:00:00"/>
    <x v="9"/>
    <s v="D01"/>
    <x v="0"/>
    <s v="5700"/>
    <s v="Training &amp; Development"/>
    <x v="5"/>
    <x v="1"/>
    <n v="1248"/>
    <x v="0"/>
  </r>
  <r>
    <d v="2025-10-01T00:00:00"/>
    <x v="9"/>
    <s v="D02"/>
    <x v="1"/>
    <s v="5000"/>
    <s v="Salaries"/>
    <x v="0"/>
    <x v="0"/>
    <n v="188816.61"/>
    <x v="0"/>
  </r>
  <r>
    <d v="2025-10-01T00:00:00"/>
    <x v="9"/>
    <s v="D02"/>
    <x v="1"/>
    <s v="5000"/>
    <s v="Salaries"/>
    <x v="0"/>
    <x v="1"/>
    <n v="173040"/>
    <x v="0"/>
  </r>
  <r>
    <d v="2025-10-01T00:00:00"/>
    <x v="9"/>
    <s v="D02"/>
    <x v="1"/>
    <s v="5100"/>
    <s v="Benefits"/>
    <x v="0"/>
    <x v="0"/>
    <n v="38105.68"/>
    <x v="0"/>
  </r>
  <r>
    <d v="2025-10-01T00:00:00"/>
    <x v="9"/>
    <s v="D02"/>
    <x v="1"/>
    <s v="5100"/>
    <s v="Benefits"/>
    <x v="0"/>
    <x v="1"/>
    <n v="38068.800000000003"/>
    <x v="0"/>
  </r>
  <r>
    <d v="2025-10-01T00:00:00"/>
    <x v="9"/>
    <s v="D02"/>
    <x v="1"/>
    <s v="5200"/>
    <s v="Occupancy &amp; Facilities"/>
    <x v="1"/>
    <x v="0"/>
    <n v="15009.27"/>
    <x v="0"/>
  </r>
  <r>
    <d v="2025-10-01T00:00:00"/>
    <x v="9"/>
    <s v="D02"/>
    <x v="1"/>
    <s v="5200"/>
    <s v="Occupancy &amp; Facilities"/>
    <x v="1"/>
    <x v="1"/>
    <n v="16000"/>
    <x v="0"/>
  </r>
  <r>
    <d v="2025-10-01T00:00:00"/>
    <x v="9"/>
    <s v="D02"/>
    <x v="1"/>
    <s v="5300"/>
    <s v="IT Software &amp; Subscriptions"/>
    <x v="2"/>
    <x v="0"/>
    <n v="9217.18"/>
    <x v="0"/>
  </r>
  <r>
    <d v="2025-10-01T00:00:00"/>
    <x v="9"/>
    <s v="D02"/>
    <x v="1"/>
    <s v="5300"/>
    <s v="IT Software &amp; Subscriptions"/>
    <x v="2"/>
    <x v="1"/>
    <n v="9360"/>
    <x v="0"/>
  </r>
  <r>
    <d v="2025-10-01T00:00:00"/>
    <x v="9"/>
    <s v="D02"/>
    <x v="1"/>
    <s v="5400"/>
    <s v="Marketing &amp; Advertising"/>
    <x v="3"/>
    <x v="0"/>
    <n v="6221.19"/>
    <x v="0"/>
  </r>
  <r>
    <d v="2025-10-01T00:00:00"/>
    <x v="9"/>
    <s v="D02"/>
    <x v="1"/>
    <s v="5400"/>
    <s v="Marketing &amp; Advertising"/>
    <x v="3"/>
    <x v="1"/>
    <n v="6240"/>
    <x v="0"/>
  </r>
  <r>
    <d v="2025-10-01T00:00:00"/>
    <x v="9"/>
    <s v="D02"/>
    <x v="1"/>
    <s v="5500"/>
    <s v="Professional Services"/>
    <x v="4"/>
    <x v="0"/>
    <n v="7824.65"/>
    <x v="0"/>
  </r>
  <r>
    <d v="2025-10-01T00:00:00"/>
    <x v="9"/>
    <s v="D02"/>
    <x v="1"/>
    <s v="5500"/>
    <s v="Professional Services"/>
    <x v="4"/>
    <x v="1"/>
    <n v="8320"/>
    <x v="0"/>
  </r>
  <r>
    <d v="2025-10-01T00:00:00"/>
    <x v="9"/>
    <s v="D02"/>
    <x v="1"/>
    <s v="5600"/>
    <s v="Office Supplies"/>
    <x v="5"/>
    <x v="0"/>
    <n v="926.62"/>
    <x v="0"/>
  </r>
  <r>
    <d v="2025-10-01T00:00:00"/>
    <x v="9"/>
    <s v="D02"/>
    <x v="1"/>
    <s v="5600"/>
    <s v="Office Supplies"/>
    <x v="5"/>
    <x v="1"/>
    <n v="936"/>
    <x v="0"/>
  </r>
  <r>
    <d v="2025-10-01T00:00:00"/>
    <x v="9"/>
    <s v="D02"/>
    <x v="1"/>
    <s v="5700"/>
    <s v="Training &amp; Development"/>
    <x v="5"/>
    <x v="0"/>
    <n v="1472.71"/>
    <x v="0"/>
  </r>
  <r>
    <d v="2025-10-01T00:00:00"/>
    <x v="9"/>
    <s v="D02"/>
    <x v="1"/>
    <s v="5700"/>
    <s v="Training &amp; Development"/>
    <x v="5"/>
    <x v="1"/>
    <n v="1456"/>
    <x v="0"/>
  </r>
  <r>
    <d v="2025-10-01T00:00:00"/>
    <x v="9"/>
    <s v="D03"/>
    <x v="2"/>
    <s v="5000"/>
    <s v="Salaries"/>
    <x v="0"/>
    <x v="0"/>
    <n v="148627.51999999999"/>
    <x v="0"/>
  </r>
  <r>
    <d v="2025-10-01T00:00:00"/>
    <x v="9"/>
    <s v="D03"/>
    <x v="2"/>
    <s v="5000"/>
    <s v="Salaries"/>
    <x v="0"/>
    <x v="1"/>
    <n v="151410"/>
    <x v="0"/>
  </r>
  <r>
    <d v="2025-10-01T00:00:00"/>
    <x v="9"/>
    <s v="D03"/>
    <x v="2"/>
    <s v="5100"/>
    <s v="Benefits"/>
    <x v="0"/>
    <x v="0"/>
    <n v="32286.34"/>
    <x v="0"/>
  </r>
  <r>
    <d v="2025-10-01T00:00:00"/>
    <x v="9"/>
    <s v="D03"/>
    <x v="2"/>
    <s v="5100"/>
    <s v="Benefits"/>
    <x v="0"/>
    <x v="1"/>
    <n v="33310.199999999997"/>
    <x v="0"/>
  </r>
  <r>
    <d v="2025-10-01T00:00:00"/>
    <x v="9"/>
    <s v="D03"/>
    <x v="2"/>
    <s v="5200"/>
    <s v="Occupancy &amp; Facilities"/>
    <x v="1"/>
    <x v="0"/>
    <n v="8726.85"/>
    <x v="0"/>
  </r>
  <r>
    <d v="2025-10-01T00:00:00"/>
    <x v="9"/>
    <s v="D03"/>
    <x v="2"/>
    <s v="5200"/>
    <s v="Occupancy &amp; Facilities"/>
    <x v="1"/>
    <x v="1"/>
    <n v="9000"/>
    <x v="0"/>
  </r>
  <r>
    <d v="2025-10-01T00:00:00"/>
    <x v="9"/>
    <s v="D03"/>
    <x v="2"/>
    <s v="5300"/>
    <s v="IT Software &amp; Subscriptions"/>
    <x v="2"/>
    <x v="0"/>
    <n v="46801.69"/>
    <x v="0"/>
  </r>
  <r>
    <d v="2025-10-01T00:00:00"/>
    <x v="9"/>
    <s v="D03"/>
    <x v="2"/>
    <s v="5300"/>
    <s v="IT Software &amp; Subscriptions"/>
    <x v="2"/>
    <x v="1"/>
    <n v="43680"/>
    <x v="0"/>
  </r>
  <r>
    <d v="2025-10-01T00:00:00"/>
    <x v="9"/>
    <s v="D03"/>
    <x v="2"/>
    <s v="5400"/>
    <s v="Marketing &amp; Advertising"/>
    <x v="3"/>
    <x v="0"/>
    <n v="1550.04"/>
    <x v="0"/>
  </r>
  <r>
    <d v="2025-10-01T00:00:00"/>
    <x v="9"/>
    <s v="D03"/>
    <x v="2"/>
    <s v="5400"/>
    <s v="Marketing &amp; Advertising"/>
    <x v="3"/>
    <x v="1"/>
    <n v="1560"/>
    <x v="0"/>
  </r>
  <r>
    <d v="2025-10-01T00:00:00"/>
    <x v="9"/>
    <s v="D03"/>
    <x v="2"/>
    <s v="5500"/>
    <s v="Professional Services"/>
    <x v="4"/>
    <x v="0"/>
    <n v="12065.7"/>
    <x v="0"/>
  </r>
  <r>
    <d v="2025-10-01T00:00:00"/>
    <x v="9"/>
    <s v="D03"/>
    <x v="2"/>
    <s v="5500"/>
    <s v="Professional Services"/>
    <x v="4"/>
    <x v="1"/>
    <n v="12480"/>
    <x v="0"/>
  </r>
  <r>
    <d v="2025-10-01T00:00:00"/>
    <x v="9"/>
    <s v="D03"/>
    <x v="2"/>
    <s v="5600"/>
    <s v="Office Supplies"/>
    <x v="5"/>
    <x v="0"/>
    <n v="819.59"/>
    <x v="0"/>
  </r>
  <r>
    <d v="2025-10-01T00:00:00"/>
    <x v="9"/>
    <s v="D03"/>
    <x v="2"/>
    <s v="5600"/>
    <s v="Office Supplies"/>
    <x v="5"/>
    <x v="1"/>
    <n v="832"/>
    <x v="0"/>
  </r>
  <r>
    <d v="2025-10-01T00:00:00"/>
    <x v="9"/>
    <s v="D03"/>
    <x v="2"/>
    <s v="5700"/>
    <s v="Training &amp; Development"/>
    <x v="5"/>
    <x v="0"/>
    <n v="1943.46"/>
    <x v="0"/>
  </r>
  <r>
    <d v="2025-10-01T00:00:00"/>
    <x v="9"/>
    <s v="D03"/>
    <x v="2"/>
    <s v="5700"/>
    <s v="Training &amp; Development"/>
    <x v="5"/>
    <x v="1"/>
    <n v="1872"/>
    <x v="0"/>
  </r>
  <r>
    <d v="2025-10-01T00:00:00"/>
    <x v="9"/>
    <s v="D04"/>
    <x v="3"/>
    <s v="5000"/>
    <s v="Salaries"/>
    <x v="0"/>
    <x v="0"/>
    <n v="62611.93"/>
    <x v="0"/>
  </r>
  <r>
    <d v="2025-10-01T00:00:00"/>
    <x v="9"/>
    <s v="D04"/>
    <x v="3"/>
    <s v="5000"/>
    <s v="Salaries"/>
    <x v="0"/>
    <x v="1"/>
    <n v="64375"/>
    <x v="0"/>
  </r>
  <r>
    <d v="2025-10-01T00:00:00"/>
    <x v="9"/>
    <s v="D04"/>
    <x v="3"/>
    <s v="5100"/>
    <s v="Benefits"/>
    <x v="0"/>
    <x v="0"/>
    <n v="14435.47"/>
    <x v="0"/>
  </r>
  <r>
    <d v="2025-10-01T00:00:00"/>
    <x v="9"/>
    <s v="D04"/>
    <x v="3"/>
    <s v="5100"/>
    <s v="Benefits"/>
    <x v="0"/>
    <x v="1"/>
    <n v="14162.5"/>
    <x v="0"/>
  </r>
  <r>
    <d v="2025-10-01T00:00:00"/>
    <x v="9"/>
    <s v="D04"/>
    <x v="3"/>
    <s v="5200"/>
    <s v="Occupancy &amp; Facilities"/>
    <x v="1"/>
    <x v="0"/>
    <n v="6174.69"/>
    <x v="0"/>
  </r>
  <r>
    <d v="2025-10-01T00:00:00"/>
    <x v="9"/>
    <s v="D04"/>
    <x v="3"/>
    <s v="5200"/>
    <s v="Occupancy &amp; Facilities"/>
    <x v="1"/>
    <x v="1"/>
    <n v="6000"/>
    <x v="0"/>
  </r>
  <r>
    <d v="2025-10-01T00:00:00"/>
    <x v="9"/>
    <s v="D04"/>
    <x v="3"/>
    <s v="5300"/>
    <s v="IT Software &amp; Subscriptions"/>
    <x v="2"/>
    <x v="0"/>
    <n v="7498.14"/>
    <x v="0"/>
  </r>
  <r>
    <d v="2025-10-01T00:00:00"/>
    <x v="9"/>
    <s v="D04"/>
    <x v="3"/>
    <s v="5300"/>
    <s v="IT Software &amp; Subscriptions"/>
    <x v="2"/>
    <x v="1"/>
    <n v="7280"/>
    <x v="0"/>
  </r>
  <r>
    <d v="2025-10-01T00:00:00"/>
    <x v="9"/>
    <s v="D04"/>
    <x v="3"/>
    <s v="5400"/>
    <s v="Marketing &amp; Advertising"/>
    <x v="3"/>
    <x v="0"/>
    <n v="30750.36"/>
    <x v="0"/>
  </r>
  <r>
    <d v="2025-10-01T00:00:00"/>
    <x v="9"/>
    <s v="D04"/>
    <x v="3"/>
    <s v="5400"/>
    <s v="Marketing &amp; Advertising"/>
    <x v="3"/>
    <x v="1"/>
    <n v="29120"/>
    <x v="0"/>
  </r>
  <r>
    <d v="2025-10-01T00:00:00"/>
    <x v="9"/>
    <s v="D04"/>
    <x v="3"/>
    <s v="5500"/>
    <s v="Professional Services"/>
    <x v="4"/>
    <x v="0"/>
    <n v="6102.6"/>
    <x v="0"/>
  </r>
  <r>
    <d v="2025-10-01T00:00:00"/>
    <x v="9"/>
    <s v="D04"/>
    <x v="3"/>
    <s v="5500"/>
    <s v="Professional Services"/>
    <x v="4"/>
    <x v="1"/>
    <n v="6240"/>
    <x v="0"/>
  </r>
  <r>
    <d v="2025-10-01T00:00:00"/>
    <x v="9"/>
    <s v="D04"/>
    <x v="3"/>
    <s v="5600"/>
    <s v="Office Supplies"/>
    <x v="5"/>
    <x v="0"/>
    <n v="760.99"/>
    <x v="0"/>
  </r>
  <r>
    <d v="2025-10-01T00:00:00"/>
    <x v="9"/>
    <s v="D04"/>
    <x v="3"/>
    <s v="5600"/>
    <s v="Office Supplies"/>
    <x v="5"/>
    <x v="1"/>
    <n v="728"/>
    <x v="0"/>
  </r>
  <r>
    <d v="2025-10-01T00:00:00"/>
    <x v="9"/>
    <s v="D04"/>
    <x v="3"/>
    <s v="5700"/>
    <s v="Training &amp; Development"/>
    <x v="5"/>
    <x v="0"/>
    <n v="1107.72"/>
    <x v="0"/>
  </r>
  <r>
    <d v="2025-10-01T00:00:00"/>
    <x v="9"/>
    <s v="D04"/>
    <x v="3"/>
    <s v="5700"/>
    <s v="Training &amp; Development"/>
    <x v="5"/>
    <x v="1"/>
    <n v="1144"/>
    <x v="0"/>
  </r>
  <r>
    <d v="2025-10-01T00:00:00"/>
    <x v="9"/>
    <s v="D05"/>
    <x v="4"/>
    <s v="5000"/>
    <s v="Salaries"/>
    <x v="0"/>
    <x v="0"/>
    <n v="52710.45"/>
    <x v="0"/>
  </r>
  <r>
    <d v="2025-10-01T00:00:00"/>
    <x v="9"/>
    <s v="D05"/>
    <x v="4"/>
    <s v="5000"/>
    <s v="Salaries"/>
    <x v="0"/>
    <x v="1"/>
    <n v="53560"/>
    <x v="0"/>
  </r>
  <r>
    <d v="2025-10-01T00:00:00"/>
    <x v="9"/>
    <s v="D05"/>
    <x v="4"/>
    <s v="5100"/>
    <s v="Benefits"/>
    <x v="0"/>
    <x v="0"/>
    <n v="12346.95"/>
    <x v="0"/>
  </r>
  <r>
    <d v="2025-10-01T00:00:00"/>
    <x v="9"/>
    <s v="D05"/>
    <x v="4"/>
    <s v="5100"/>
    <s v="Benefits"/>
    <x v="0"/>
    <x v="1"/>
    <n v="11783.2"/>
    <x v="0"/>
  </r>
  <r>
    <d v="2025-10-01T00:00:00"/>
    <x v="9"/>
    <s v="D05"/>
    <x v="4"/>
    <s v="5200"/>
    <s v="Occupancy &amp; Facilities"/>
    <x v="1"/>
    <x v="0"/>
    <n v="4131.58"/>
    <x v="0"/>
  </r>
  <r>
    <d v="2025-10-01T00:00:00"/>
    <x v="9"/>
    <s v="D05"/>
    <x v="4"/>
    <s v="5200"/>
    <s v="Occupancy &amp; Facilities"/>
    <x v="1"/>
    <x v="1"/>
    <n v="4000"/>
    <x v="0"/>
  </r>
  <r>
    <d v="2025-10-01T00:00:00"/>
    <x v="9"/>
    <s v="D05"/>
    <x v="4"/>
    <s v="5300"/>
    <s v="IT Software &amp; Subscriptions"/>
    <x v="2"/>
    <x v="0"/>
    <n v="5200.4399999999996"/>
    <x v="0"/>
  </r>
  <r>
    <d v="2025-10-01T00:00:00"/>
    <x v="9"/>
    <s v="D05"/>
    <x v="4"/>
    <s v="5300"/>
    <s v="IT Software &amp; Subscriptions"/>
    <x v="2"/>
    <x v="1"/>
    <n v="5200"/>
    <x v="0"/>
  </r>
  <r>
    <d v="2025-10-01T00:00:00"/>
    <x v="9"/>
    <s v="D05"/>
    <x v="4"/>
    <s v="5400"/>
    <s v="Marketing &amp; Advertising"/>
    <x v="3"/>
    <x v="0"/>
    <n v="1188.52"/>
    <x v="0"/>
  </r>
  <r>
    <d v="2025-10-01T00:00:00"/>
    <x v="9"/>
    <s v="D05"/>
    <x v="4"/>
    <s v="5400"/>
    <s v="Marketing &amp; Advertising"/>
    <x v="3"/>
    <x v="1"/>
    <n v="1248"/>
    <x v="0"/>
  </r>
  <r>
    <d v="2025-10-01T00:00:00"/>
    <x v="9"/>
    <s v="D05"/>
    <x v="4"/>
    <s v="5500"/>
    <s v="Professional Services"/>
    <x v="4"/>
    <x v="0"/>
    <n v="3721.78"/>
    <x v="0"/>
  </r>
  <r>
    <d v="2025-10-01T00:00:00"/>
    <x v="9"/>
    <s v="D05"/>
    <x v="4"/>
    <s v="5500"/>
    <s v="Professional Services"/>
    <x v="4"/>
    <x v="1"/>
    <n v="3640"/>
    <x v="0"/>
  </r>
  <r>
    <d v="2025-10-01T00:00:00"/>
    <x v="9"/>
    <s v="D05"/>
    <x v="4"/>
    <s v="5600"/>
    <s v="Office Supplies"/>
    <x v="5"/>
    <x v="0"/>
    <n v="608.27"/>
    <x v="0"/>
  </r>
  <r>
    <d v="2025-10-01T00:00:00"/>
    <x v="9"/>
    <s v="D05"/>
    <x v="4"/>
    <s v="5600"/>
    <s v="Office Supplies"/>
    <x v="5"/>
    <x v="1"/>
    <n v="624"/>
    <x v="0"/>
  </r>
  <r>
    <d v="2025-10-01T00:00:00"/>
    <x v="9"/>
    <s v="D05"/>
    <x v="4"/>
    <s v="5700"/>
    <s v="Training &amp; Development"/>
    <x v="5"/>
    <x v="0"/>
    <n v="1602.51"/>
    <x v="0"/>
  </r>
  <r>
    <d v="2025-10-01T00:00:00"/>
    <x v="9"/>
    <s v="D05"/>
    <x v="4"/>
    <s v="5700"/>
    <s v="Training &amp; Development"/>
    <x v="5"/>
    <x v="1"/>
    <n v="1664"/>
    <x v="0"/>
  </r>
  <r>
    <d v="2025-11-01T00:00:00"/>
    <x v="10"/>
    <s v="D01"/>
    <x v="0"/>
    <s v="5000"/>
    <s v="Salaries"/>
    <x v="0"/>
    <x v="0"/>
    <n v="195642.89"/>
    <x v="1"/>
  </r>
  <r>
    <d v="2025-11-01T00:00:00"/>
    <x v="10"/>
    <s v="D01"/>
    <x v="0"/>
    <s v="5000"/>
    <s v="Salaries"/>
    <x v="0"/>
    <x v="1"/>
    <n v="200850"/>
    <x v="1"/>
  </r>
  <r>
    <d v="2025-11-01T00:00:00"/>
    <x v="10"/>
    <s v="D01"/>
    <x v="0"/>
    <s v="5100"/>
    <s v="Benefits"/>
    <x v="0"/>
    <x v="0"/>
    <n v="44622.67"/>
    <x v="1"/>
  </r>
  <r>
    <d v="2025-11-01T00:00:00"/>
    <x v="10"/>
    <s v="D01"/>
    <x v="0"/>
    <s v="5100"/>
    <s v="Benefits"/>
    <x v="0"/>
    <x v="1"/>
    <n v="44187"/>
    <x v="1"/>
  </r>
  <r>
    <d v="2025-11-01T00:00:00"/>
    <x v="10"/>
    <s v="D01"/>
    <x v="0"/>
    <s v="5200"/>
    <s v="Occupancy &amp; Facilities"/>
    <x v="1"/>
    <x v="0"/>
    <n v="34776.03"/>
    <x v="1"/>
  </r>
  <r>
    <d v="2025-11-01T00:00:00"/>
    <x v="10"/>
    <s v="D01"/>
    <x v="0"/>
    <s v="5200"/>
    <s v="Occupancy &amp; Facilities"/>
    <x v="1"/>
    <x v="1"/>
    <n v="38000"/>
    <x v="1"/>
  </r>
  <r>
    <d v="2025-11-01T00:00:00"/>
    <x v="10"/>
    <s v="D01"/>
    <x v="0"/>
    <s v="5300"/>
    <s v="IT Software &amp; Subscriptions"/>
    <x v="2"/>
    <x v="0"/>
    <n v="12660.09"/>
    <x v="1"/>
  </r>
  <r>
    <d v="2025-11-01T00:00:00"/>
    <x v="10"/>
    <s v="D01"/>
    <x v="0"/>
    <s v="5300"/>
    <s v="IT Software &amp; Subscriptions"/>
    <x v="2"/>
    <x v="1"/>
    <n v="12480"/>
    <x v="1"/>
  </r>
  <r>
    <d v="2025-11-01T00:00:00"/>
    <x v="10"/>
    <s v="D01"/>
    <x v="0"/>
    <s v="5400"/>
    <s v="Marketing &amp; Advertising"/>
    <x v="3"/>
    <x v="0"/>
    <n v="5445.62"/>
    <x v="1"/>
  </r>
  <r>
    <d v="2025-11-01T00:00:00"/>
    <x v="10"/>
    <s v="D01"/>
    <x v="0"/>
    <s v="5400"/>
    <s v="Marketing &amp; Advertising"/>
    <x v="3"/>
    <x v="1"/>
    <n v="5408"/>
    <x v="1"/>
  </r>
  <r>
    <d v="2025-11-01T00:00:00"/>
    <x v="10"/>
    <s v="D01"/>
    <x v="0"/>
    <s v="5500"/>
    <s v="Professional Services"/>
    <x v="4"/>
    <x v="0"/>
    <n v="5078.42"/>
    <x v="1"/>
  </r>
  <r>
    <d v="2025-11-01T00:00:00"/>
    <x v="10"/>
    <s v="D01"/>
    <x v="0"/>
    <s v="5500"/>
    <s v="Professional Services"/>
    <x v="4"/>
    <x v="1"/>
    <n v="5200"/>
    <x v="1"/>
  </r>
  <r>
    <d v="2025-11-01T00:00:00"/>
    <x v="10"/>
    <s v="D01"/>
    <x v="0"/>
    <s v="5600"/>
    <s v="Office Supplies"/>
    <x v="5"/>
    <x v="0"/>
    <n v="1624.7"/>
    <x v="1"/>
  </r>
  <r>
    <d v="2025-11-01T00:00:00"/>
    <x v="10"/>
    <s v="D01"/>
    <x v="0"/>
    <s v="5600"/>
    <s v="Office Supplies"/>
    <x v="5"/>
    <x v="1"/>
    <n v="1560"/>
    <x v="1"/>
  </r>
  <r>
    <d v="2025-11-01T00:00:00"/>
    <x v="10"/>
    <s v="D01"/>
    <x v="0"/>
    <s v="5700"/>
    <s v="Training &amp; Development"/>
    <x v="5"/>
    <x v="0"/>
    <n v="1278.52"/>
    <x v="1"/>
  </r>
  <r>
    <d v="2025-11-01T00:00:00"/>
    <x v="10"/>
    <s v="D01"/>
    <x v="0"/>
    <s v="5700"/>
    <s v="Training &amp; Development"/>
    <x v="5"/>
    <x v="1"/>
    <n v="1248"/>
    <x v="1"/>
  </r>
  <r>
    <d v="2025-11-01T00:00:00"/>
    <x v="10"/>
    <s v="D02"/>
    <x v="1"/>
    <s v="5000"/>
    <s v="Salaries"/>
    <x v="0"/>
    <x v="0"/>
    <n v="168843.54"/>
    <x v="1"/>
  </r>
  <r>
    <d v="2025-11-01T00:00:00"/>
    <x v="10"/>
    <s v="D02"/>
    <x v="1"/>
    <s v="5000"/>
    <s v="Salaries"/>
    <x v="0"/>
    <x v="1"/>
    <n v="173040"/>
    <x v="1"/>
  </r>
  <r>
    <d v="2025-11-01T00:00:00"/>
    <x v="10"/>
    <s v="D02"/>
    <x v="1"/>
    <s v="5100"/>
    <s v="Benefits"/>
    <x v="0"/>
    <x v="0"/>
    <n v="37048.53"/>
    <x v="1"/>
  </r>
  <r>
    <d v="2025-11-01T00:00:00"/>
    <x v="10"/>
    <s v="D02"/>
    <x v="1"/>
    <s v="5100"/>
    <s v="Benefits"/>
    <x v="0"/>
    <x v="1"/>
    <n v="38068.800000000003"/>
    <x v="1"/>
  </r>
  <r>
    <d v="2025-11-01T00:00:00"/>
    <x v="10"/>
    <s v="D02"/>
    <x v="1"/>
    <s v="5200"/>
    <s v="Occupancy &amp; Facilities"/>
    <x v="1"/>
    <x v="0"/>
    <n v="16444.900000000001"/>
    <x v="1"/>
  </r>
  <r>
    <d v="2025-11-01T00:00:00"/>
    <x v="10"/>
    <s v="D02"/>
    <x v="1"/>
    <s v="5200"/>
    <s v="Occupancy &amp; Facilities"/>
    <x v="1"/>
    <x v="1"/>
    <n v="16000"/>
    <x v="1"/>
  </r>
  <r>
    <d v="2025-11-01T00:00:00"/>
    <x v="10"/>
    <s v="D02"/>
    <x v="1"/>
    <s v="5300"/>
    <s v="IT Software &amp; Subscriptions"/>
    <x v="2"/>
    <x v="0"/>
    <n v="8792.3799999999992"/>
    <x v="1"/>
  </r>
  <r>
    <d v="2025-11-01T00:00:00"/>
    <x v="10"/>
    <s v="D02"/>
    <x v="1"/>
    <s v="5300"/>
    <s v="IT Software &amp; Subscriptions"/>
    <x v="2"/>
    <x v="1"/>
    <n v="9360"/>
    <x v="1"/>
  </r>
  <r>
    <d v="2025-11-01T00:00:00"/>
    <x v="10"/>
    <s v="D02"/>
    <x v="1"/>
    <s v="5400"/>
    <s v="Marketing &amp; Advertising"/>
    <x v="3"/>
    <x v="0"/>
    <n v="8004.07"/>
    <x v="1"/>
  </r>
  <r>
    <d v="2025-11-01T00:00:00"/>
    <x v="10"/>
    <s v="D02"/>
    <x v="1"/>
    <s v="5400"/>
    <s v="Marketing &amp; Advertising"/>
    <x v="3"/>
    <x v="1"/>
    <n v="8112"/>
    <x v="1"/>
  </r>
  <r>
    <d v="2025-11-01T00:00:00"/>
    <x v="10"/>
    <s v="D02"/>
    <x v="1"/>
    <s v="5500"/>
    <s v="Professional Services"/>
    <x v="4"/>
    <x v="0"/>
    <n v="8109.99"/>
    <x v="1"/>
  </r>
  <r>
    <d v="2025-11-01T00:00:00"/>
    <x v="10"/>
    <s v="D02"/>
    <x v="1"/>
    <s v="5500"/>
    <s v="Professional Services"/>
    <x v="4"/>
    <x v="1"/>
    <n v="8320"/>
    <x v="1"/>
  </r>
  <r>
    <d v="2025-11-01T00:00:00"/>
    <x v="10"/>
    <s v="D02"/>
    <x v="1"/>
    <s v="5600"/>
    <s v="Office Supplies"/>
    <x v="5"/>
    <x v="0"/>
    <n v="938.62"/>
    <x v="1"/>
  </r>
  <r>
    <d v="2025-11-01T00:00:00"/>
    <x v="10"/>
    <s v="D02"/>
    <x v="1"/>
    <s v="5600"/>
    <s v="Office Supplies"/>
    <x v="5"/>
    <x v="1"/>
    <n v="936"/>
    <x v="1"/>
  </r>
  <r>
    <d v="2025-11-01T00:00:00"/>
    <x v="10"/>
    <s v="D02"/>
    <x v="1"/>
    <s v="5700"/>
    <s v="Training &amp; Development"/>
    <x v="5"/>
    <x v="0"/>
    <n v="1468.3"/>
    <x v="1"/>
  </r>
  <r>
    <d v="2025-11-01T00:00:00"/>
    <x v="10"/>
    <s v="D02"/>
    <x v="1"/>
    <s v="5700"/>
    <s v="Training &amp; Development"/>
    <x v="5"/>
    <x v="1"/>
    <n v="1456"/>
    <x v="1"/>
  </r>
  <r>
    <d v="2025-11-01T00:00:00"/>
    <x v="10"/>
    <s v="D03"/>
    <x v="2"/>
    <s v="5000"/>
    <s v="Salaries"/>
    <x v="0"/>
    <x v="0"/>
    <n v="151632.79999999999"/>
    <x v="1"/>
  </r>
  <r>
    <d v="2025-11-01T00:00:00"/>
    <x v="10"/>
    <s v="D03"/>
    <x v="2"/>
    <s v="5000"/>
    <s v="Salaries"/>
    <x v="0"/>
    <x v="1"/>
    <n v="151410"/>
    <x v="1"/>
  </r>
  <r>
    <d v="2025-11-01T00:00:00"/>
    <x v="10"/>
    <s v="D03"/>
    <x v="2"/>
    <s v="5100"/>
    <s v="Benefits"/>
    <x v="0"/>
    <x v="0"/>
    <n v="34822.28"/>
    <x v="1"/>
  </r>
  <r>
    <d v="2025-11-01T00:00:00"/>
    <x v="10"/>
    <s v="D03"/>
    <x v="2"/>
    <s v="5100"/>
    <s v="Benefits"/>
    <x v="0"/>
    <x v="1"/>
    <n v="33310.199999999997"/>
    <x v="1"/>
  </r>
  <r>
    <d v="2025-11-01T00:00:00"/>
    <x v="10"/>
    <s v="D03"/>
    <x v="2"/>
    <s v="5200"/>
    <s v="Occupancy &amp; Facilities"/>
    <x v="1"/>
    <x v="0"/>
    <n v="9082.1"/>
    <x v="1"/>
  </r>
  <r>
    <d v="2025-11-01T00:00:00"/>
    <x v="10"/>
    <s v="D03"/>
    <x v="2"/>
    <s v="5200"/>
    <s v="Occupancy &amp; Facilities"/>
    <x v="1"/>
    <x v="1"/>
    <n v="9000"/>
    <x v="1"/>
  </r>
  <r>
    <d v="2025-11-01T00:00:00"/>
    <x v="10"/>
    <s v="D03"/>
    <x v="2"/>
    <s v="5300"/>
    <s v="IT Software &amp; Subscriptions"/>
    <x v="2"/>
    <x v="0"/>
    <n v="43129.65"/>
    <x v="1"/>
  </r>
  <r>
    <d v="2025-11-01T00:00:00"/>
    <x v="10"/>
    <s v="D03"/>
    <x v="2"/>
    <s v="5300"/>
    <s v="IT Software &amp; Subscriptions"/>
    <x v="2"/>
    <x v="1"/>
    <n v="43680"/>
    <x v="1"/>
  </r>
  <r>
    <d v="2025-11-01T00:00:00"/>
    <x v="10"/>
    <s v="D03"/>
    <x v="2"/>
    <s v="5400"/>
    <s v="Marketing &amp; Advertising"/>
    <x v="3"/>
    <x v="0"/>
    <n v="1929.78"/>
    <x v="1"/>
  </r>
  <r>
    <d v="2025-11-01T00:00:00"/>
    <x v="10"/>
    <s v="D03"/>
    <x v="2"/>
    <s v="5400"/>
    <s v="Marketing &amp; Advertising"/>
    <x v="3"/>
    <x v="1"/>
    <n v="2028"/>
    <x v="1"/>
  </r>
  <r>
    <d v="2025-11-01T00:00:00"/>
    <x v="10"/>
    <s v="D03"/>
    <x v="2"/>
    <s v="5500"/>
    <s v="Professional Services"/>
    <x v="4"/>
    <x v="0"/>
    <n v="12840.35"/>
    <x v="1"/>
  </r>
  <r>
    <d v="2025-11-01T00:00:00"/>
    <x v="10"/>
    <s v="D03"/>
    <x v="2"/>
    <s v="5500"/>
    <s v="Professional Services"/>
    <x v="4"/>
    <x v="1"/>
    <n v="12480"/>
    <x v="1"/>
  </r>
  <r>
    <d v="2025-11-01T00:00:00"/>
    <x v="10"/>
    <s v="D03"/>
    <x v="2"/>
    <s v="5600"/>
    <s v="Office Supplies"/>
    <x v="5"/>
    <x v="0"/>
    <n v="849.58"/>
    <x v="1"/>
  </r>
  <r>
    <d v="2025-11-01T00:00:00"/>
    <x v="10"/>
    <s v="D03"/>
    <x v="2"/>
    <s v="5600"/>
    <s v="Office Supplies"/>
    <x v="5"/>
    <x v="1"/>
    <n v="832"/>
    <x v="1"/>
  </r>
  <r>
    <d v="2025-11-01T00:00:00"/>
    <x v="10"/>
    <s v="D03"/>
    <x v="2"/>
    <s v="5700"/>
    <s v="Training &amp; Development"/>
    <x v="5"/>
    <x v="0"/>
    <n v="1980.64"/>
    <x v="1"/>
  </r>
  <r>
    <d v="2025-11-01T00:00:00"/>
    <x v="10"/>
    <s v="D03"/>
    <x v="2"/>
    <s v="5700"/>
    <s v="Training &amp; Development"/>
    <x v="5"/>
    <x v="1"/>
    <n v="1872"/>
    <x v="1"/>
  </r>
  <r>
    <d v="2025-11-01T00:00:00"/>
    <x v="10"/>
    <s v="D04"/>
    <x v="3"/>
    <s v="5000"/>
    <s v="Salaries"/>
    <x v="0"/>
    <x v="0"/>
    <n v="62450.3"/>
    <x v="1"/>
  </r>
  <r>
    <d v="2025-11-01T00:00:00"/>
    <x v="10"/>
    <s v="D04"/>
    <x v="3"/>
    <s v="5000"/>
    <s v="Salaries"/>
    <x v="0"/>
    <x v="1"/>
    <n v="64375"/>
    <x v="1"/>
  </r>
  <r>
    <d v="2025-11-01T00:00:00"/>
    <x v="10"/>
    <s v="D04"/>
    <x v="3"/>
    <s v="5100"/>
    <s v="Benefits"/>
    <x v="0"/>
    <x v="0"/>
    <n v="14177.47"/>
    <x v="1"/>
  </r>
  <r>
    <d v="2025-11-01T00:00:00"/>
    <x v="10"/>
    <s v="D04"/>
    <x v="3"/>
    <s v="5100"/>
    <s v="Benefits"/>
    <x v="0"/>
    <x v="1"/>
    <n v="14162.5"/>
    <x v="1"/>
  </r>
  <r>
    <d v="2025-11-01T00:00:00"/>
    <x v="10"/>
    <s v="D04"/>
    <x v="3"/>
    <s v="5200"/>
    <s v="Occupancy &amp; Facilities"/>
    <x v="1"/>
    <x v="0"/>
    <n v="5985.91"/>
    <x v="1"/>
  </r>
  <r>
    <d v="2025-11-01T00:00:00"/>
    <x v="10"/>
    <s v="D04"/>
    <x v="3"/>
    <s v="5200"/>
    <s v="Occupancy &amp; Facilities"/>
    <x v="1"/>
    <x v="1"/>
    <n v="6000"/>
    <x v="1"/>
  </r>
  <r>
    <d v="2025-11-01T00:00:00"/>
    <x v="10"/>
    <s v="D04"/>
    <x v="3"/>
    <s v="5300"/>
    <s v="IT Software &amp; Subscriptions"/>
    <x v="2"/>
    <x v="0"/>
    <n v="7254.49"/>
    <x v="1"/>
  </r>
  <r>
    <d v="2025-11-01T00:00:00"/>
    <x v="10"/>
    <s v="D04"/>
    <x v="3"/>
    <s v="5300"/>
    <s v="IT Software &amp; Subscriptions"/>
    <x v="2"/>
    <x v="1"/>
    <n v="7280"/>
    <x v="1"/>
  </r>
  <r>
    <d v="2025-11-01T00:00:00"/>
    <x v="10"/>
    <s v="D04"/>
    <x v="3"/>
    <s v="5400"/>
    <s v="Marketing &amp; Advertising"/>
    <x v="3"/>
    <x v="0"/>
    <n v="37871.730000000003"/>
    <x v="1"/>
  </r>
  <r>
    <d v="2025-11-01T00:00:00"/>
    <x v="10"/>
    <s v="D04"/>
    <x v="3"/>
    <s v="5400"/>
    <s v="Marketing &amp; Advertising"/>
    <x v="3"/>
    <x v="1"/>
    <n v="37856"/>
    <x v="1"/>
  </r>
  <r>
    <d v="2025-11-01T00:00:00"/>
    <x v="10"/>
    <s v="D04"/>
    <x v="3"/>
    <s v="5500"/>
    <s v="Professional Services"/>
    <x v="4"/>
    <x v="0"/>
    <n v="5812.05"/>
    <x v="1"/>
  </r>
  <r>
    <d v="2025-11-01T00:00:00"/>
    <x v="10"/>
    <s v="D04"/>
    <x v="3"/>
    <s v="5500"/>
    <s v="Professional Services"/>
    <x v="4"/>
    <x v="1"/>
    <n v="6240"/>
    <x v="1"/>
  </r>
  <r>
    <d v="2025-11-01T00:00:00"/>
    <x v="10"/>
    <s v="D04"/>
    <x v="3"/>
    <s v="5600"/>
    <s v="Office Supplies"/>
    <x v="5"/>
    <x v="0"/>
    <n v="752.02"/>
    <x v="1"/>
  </r>
  <r>
    <d v="2025-11-01T00:00:00"/>
    <x v="10"/>
    <s v="D04"/>
    <x v="3"/>
    <s v="5600"/>
    <s v="Office Supplies"/>
    <x v="5"/>
    <x v="1"/>
    <n v="728"/>
    <x v="1"/>
  </r>
  <r>
    <d v="2025-11-01T00:00:00"/>
    <x v="10"/>
    <s v="D04"/>
    <x v="3"/>
    <s v="5700"/>
    <s v="Training &amp; Development"/>
    <x v="5"/>
    <x v="0"/>
    <n v="1173.8900000000001"/>
    <x v="1"/>
  </r>
  <r>
    <d v="2025-11-01T00:00:00"/>
    <x v="10"/>
    <s v="D04"/>
    <x v="3"/>
    <s v="5700"/>
    <s v="Training &amp; Development"/>
    <x v="5"/>
    <x v="1"/>
    <n v="1144"/>
    <x v="1"/>
  </r>
  <r>
    <d v="2025-11-01T00:00:00"/>
    <x v="10"/>
    <s v="D05"/>
    <x v="4"/>
    <s v="5000"/>
    <s v="Salaries"/>
    <x v="0"/>
    <x v="0"/>
    <n v="55981.93"/>
    <x v="1"/>
  </r>
  <r>
    <d v="2025-11-01T00:00:00"/>
    <x v="10"/>
    <s v="D05"/>
    <x v="4"/>
    <s v="5000"/>
    <s v="Salaries"/>
    <x v="0"/>
    <x v="1"/>
    <n v="53560"/>
    <x v="1"/>
  </r>
  <r>
    <d v="2025-11-01T00:00:00"/>
    <x v="10"/>
    <s v="D05"/>
    <x v="4"/>
    <s v="5100"/>
    <s v="Benefits"/>
    <x v="0"/>
    <x v="0"/>
    <n v="12843.49"/>
    <x v="1"/>
  </r>
  <r>
    <d v="2025-11-01T00:00:00"/>
    <x v="10"/>
    <s v="D05"/>
    <x v="4"/>
    <s v="5100"/>
    <s v="Benefits"/>
    <x v="0"/>
    <x v="1"/>
    <n v="11783.2"/>
    <x v="1"/>
  </r>
  <r>
    <d v="2025-11-01T00:00:00"/>
    <x v="10"/>
    <s v="D05"/>
    <x v="4"/>
    <s v="5200"/>
    <s v="Occupancy &amp; Facilities"/>
    <x v="1"/>
    <x v="0"/>
    <n v="3948.97"/>
    <x v="1"/>
  </r>
  <r>
    <d v="2025-11-01T00:00:00"/>
    <x v="10"/>
    <s v="D05"/>
    <x v="4"/>
    <s v="5200"/>
    <s v="Occupancy &amp; Facilities"/>
    <x v="1"/>
    <x v="1"/>
    <n v="4000"/>
    <x v="1"/>
  </r>
  <r>
    <d v="2025-11-01T00:00:00"/>
    <x v="10"/>
    <s v="D05"/>
    <x v="4"/>
    <s v="5300"/>
    <s v="IT Software &amp; Subscriptions"/>
    <x v="2"/>
    <x v="0"/>
    <n v="5192.4799999999996"/>
    <x v="1"/>
  </r>
  <r>
    <d v="2025-11-01T00:00:00"/>
    <x v="10"/>
    <s v="D05"/>
    <x v="4"/>
    <s v="5300"/>
    <s v="IT Software &amp; Subscriptions"/>
    <x v="2"/>
    <x v="1"/>
    <n v="5200"/>
    <x v="1"/>
  </r>
  <r>
    <d v="2025-11-01T00:00:00"/>
    <x v="10"/>
    <s v="D05"/>
    <x v="4"/>
    <s v="5400"/>
    <s v="Marketing &amp; Advertising"/>
    <x v="3"/>
    <x v="0"/>
    <n v="1623.03"/>
    <x v="1"/>
  </r>
  <r>
    <d v="2025-11-01T00:00:00"/>
    <x v="10"/>
    <s v="D05"/>
    <x v="4"/>
    <s v="5400"/>
    <s v="Marketing &amp; Advertising"/>
    <x v="3"/>
    <x v="1"/>
    <n v="1622.4"/>
    <x v="1"/>
  </r>
  <r>
    <d v="2025-11-01T00:00:00"/>
    <x v="10"/>
    <s v="D05"/>
    <x v="4"/>
    <s v="5500"/>
    <s v="Professional Services"/>
    <x v="4"/>
    <x v="0"/>
    <n v="3922.78"/>
    <x v="1"/>
  </r>
  <r>
    <d v="2025-11-01T00:00:00"/>
    <x v="10"/>
    <s v="D05"/>
    <x v="4"/>
    <s v="5500"/>
    <s v="Professional Services"/>
    <x v="4"/>
    <x v="1"/>
    <n v="3640"/>
    <x v="1"/>
  </r>
  <r>
    <d v="2025-11-01T00:00:00"/>
    <x v="10"/>
    <s v="D05"/>
    <x v="4"/>
    <s v="5600"/>
    <s v="Office Supplies"/>
    <x v="5"/>
    <x v="0"/>
    <n v="580.79"/>
    <x v="1"/>
  </r>
  <r>
    <d v="2025-11-01T00:00:00"/>
    <x v="10"/>
    <s v="D05"/>
    <x v="4"/>
    <s v="5600"/>
    <s v="Office Supplies"/>
    <x v="5"/>
    <x v="1"/>
    <n v="624"/>
    <x v="1"/>
  </r>
  <r>
    <d v="2025-11-01T00:00:00"/>
    <x v="10"/>
    <s v="D05"/>
    <x v="4"/>
    <s v="5700"/>
    <s v="Training &amp; Development"/>
    <x v="5"/>
    <x v="0"/>
    <n v="1696.33"/>
    <x v="1"/>
  </r>
  <r>
    <d v="2025-11-01T00:00:00"/>
    <x v="10"/>
    <s v="D05"/>
    <x v="4"/>
    <s v="5700"/>
    <s v="Training &amp; Development"/>
    <x v="5"/>
    <x v="1"/>
    <n v="1664"/>
    <x v="1"/>
  </r>
  <r>
    <d v="2025-12-01T00:00:00"/>
    <x v="11"/>
    <s v="D01"/>
    <x v="0"/>
    <s v="5000"/>
    <s v="Salaries"/>
    <x v="0"/>
    <x v="0"/>
    <n v="189033.34"/>
    <x v="1"/>
  </r>
  <r>
    <d v="2025-12-01T00:00:00"/>
    <x v="11"/>
    <s v="D01"/>
    <x v="0"/>
    <s v="5000"/>
    <s v="Salaries"/>
    <x v="0"/>
    <x v="1"/>
    <n v="200850"/>
    <x v="1"/>
  </r>
  <r>
    <d v="2025-12-01T00:00:00"/>
    <x v="11"/>
    <s v="D01"/>
    <x v="0"/>
    <s v="5100"/>
    <s v="Benefits"/>
    <x v="0"/>
    <x v="0"/>
    <n v="39624.129999999997"/>
    <x v="1"/>
  </r>
  <r>
    <d v="2025-12-01T00:00:00"/>
    <x v="11"/>
    <s v="D01"/>
    <x v="0"/>
    <s v="5100"/>
    <s v="Benefits"/>
    <x v="0"/>
    <x v="1"/>
    <n v="44187"/>
    <x v="1"/>
  </r>
  <r>
    <d v="2025-12-01T00:00:00"/>
    <x v="11"/>
    <s v="D01"/>
    <x v="0"/>
    <s v="5200"/>
    <s v="Occupancy &amp; Facilities"/>
    <x v="1"/>
    <x v="0"/>
    <n v="37024.03"/>
    <x v="1"/>
  </r>
  <r>
    <d v="2025-12-01T00:00:00"/>
    <x v="11"/>
    <s v="D01"/>
    <x v="0"/>
    <s v="5200"/>
    <s v="Occupancy &amp; Facilities"/>
    <x v="1"/>
    <x v="1"/>
    <n v="38000"/>
    <x v="1"/>
  </r>
  <r>
    <d v="2025-12-01T00:00:00"/>
    <x v="11"/>
    <s v="D01"/>
    <x v="0"/>
    <s v="5300"/>
    <s v="IT Software &amp; Subscriptions"/>
    <x v="2"/>
    <x v="0"/>
    <n v="11790.22"/>
    <x v="1"/>
  </r>
  <r>
    <d v="2025-12-01T00:00:00"/>
    <x v="11"/>
    <s v="D01"/>
    <x v="0"/>
    <s v="5300"/>
    <s v="IT Software &amp; Subscriptions"/>
    <x v="2"/>
    <x v="1"/>
    <n v="12480"/>
    <x v="1"/>
  </r>
  <r>
    <d v="2025-12-01T00:00:00"/>
    <x v="11"/>
    <s v="D01"/>
    <x v="0"/>
    <s v="5400"/>
    <s v="Marketing &amp; Advertising"/>
    <x v="3"/>
    <x v="0"/>
    <n v="5205.46"/>
    <x v="1"/>
  </r>
  <r>
    <d v="2025-12-01T00:00:00"/>
    <x v="11"/>
    <s v="D01"/>
    <x v="0"/>
    <s v="5400"/>
    <s v="Marketing &amp; Advertising"/>
    <x v="3"/>
    <x v="1"/>
    <n v="4992"/>
    <x v="1"/>
  </r>
  <r>
    <d v="2025-12-01T00:00:00"/>
    <x v="11"/>
    <s v="D01"/>
    <x v="0"/>
    <s v="5500"/>
    <s v="Professional Services"/>
    <x v="4"/>
    <x v="0"/>
    <n v="5019.38"/>
    <x v="1"/>
  </r>
  <r>
    <d v="2025-12-01T00:00:00"/>
    <x v="11"/>
    <s v="D01"/>
    <x v="0"/>
    <s v="5500"/>
    <s v="Professional Services"/>
    <x v="4"/>
    <x v="1"/>
    <n v="5200"/>
    <x v="1"/>
  </r>
  <r>
    <d v="2025-12-01T00:00:00"/>
    <x v="11"/>
    <s v="D01"/>
    <x v="0"/>
    <s v="5600"/>
    <s v="Office Supplies"/>
    <x v="5"/>
    <x v="0"/>
    <n v="1545.81"/>
    <x v="1"/>
  </r>
  <r>
    <d v="2025-12-01T00:00:00"/>
    <x v="11"/>
    <s v="D01"/>
    <x v="0"/>
    <s v="5600"/>
    <s v="Office Supplies"/>
    <x v="5"/>
    <x v="1"/>
    <n v="1560"/>
    <x v="1"/>
  </r>
  <r>
    <d v="2025-12-01T00:00:00"/>
    <x v="11"/>
    <s v="D01"/>
    <x v="0"/>
    <s v="5700"/>
    <s v="Training &amp; Development"/>
    <x v="5"/>
    <x v="0"/>
    <n v="1189.92"/>
    <x v="1"/>
  </r>
  <r>
    <d v="2025-12-01T00:00:00"/>
    <x v="11"/>
    <s v="D01"/>
    <x v="0"/>
    <s v="5700"/>
    <s v="Training &amp; Development"/>
    <x v="5"/>
    <x v="1"/>
    <n v="1248"/>
    <x v="1"/>
  </r>
  <r>
    <d v="2025-12-01T00:00:00"/>
    <x v="11"/>
    <s v="D02"/>
    <x v="1"/>
    <s v="5000"/>
    <s v="Salaries"/>
    <x v="0"/>
    <x v="0"/>
    <n v="177268.75"/>
    <x v="1"/>
  </r>
  <r>
    <d v="2025-12-01T00:00:00"/>
    <x v="11"/>
    <s v="D02"/>
    <x v="1"/>
    <s v="5000"/>
    <s v="Salaries"/>
    <x v="0"/>
    <x v="1"/>
    <n v="173040"/>
    <x v="1"/>
  </r>
  <r>
    <d v="2025-12-01T00:00:00"/>
    <x v="11"/>
    <s v="D02"/>
    <x v="1"/>
    <s v="5100"/>
    <s v="Benefits"/>
    <x v="0"/>
    <x v="0"/>
    <n v="36390.79"/>
    <x v="1"/>
  </r>
  <r>
    <d v="2025-12-01T00:00:00"/>
    <x v="11"/>
    <s v="D02"/>
    <x v="1"/>
    <s v="5100"/>
    <s v="Benefits"/>
    <x v="0"/>
    <x v="1"/>
    <n v="38068.800000000003"/>
    <x v="1"/>
  </r>
  <r>
    <d v="2025-12-01T00:00:00"/>
    <x v="11"/>
    <s v="D02"/>
    <x v="1"/>
    <s v="5200"/>
    <s v="Occupancy &amp; Facilities"/>
    <x v="1"/>
    <x v="0"/>
    <n v="17853.900000000001"/>
    <x v="1"/>
  </r>
  <r>
    <d v="2025-12-01T00:00:00"/>
    <x v="11"/>
    <s v="D02"/>
    <x v="1"/>
    <s v="5200"/>
    <s v="Occupancy &amp; Facilities"/>
    <x v="1"/>
    <x v="1"/>
    <n v="16000"/>
    <x v="1"/>
  </r>
  <r>
    <d v="2025-12-01T00:00:00"/>
    <x v="11"/>
    <s v="D02"/>
    <x v="1"/>
    <s v="5300"/>
    <s v="IT Software &amp; Subscriptions"/>
    <x v="2"/>
    <x v="0"/>
    <n v="8988.18"/>
    <x v="1"/>
  </r>
  <r>
    <d v="2025-12-01T00:00:00"/>
    <x v="11"/>
    <s v="D02"/>
    <x v="1"/>
    <s v="5300"/>
    <s v="IT Software &amp; Subscriptions"/>
    <x v="2"/>
    <x v="1"/>
    <n v="9360"/>
    <x v="1"/>
  </r>
  <r>
    <d v="2025-12-01T00:00:00"/>
    <x v="11"/>
    <s v="D02"/>
    <x v="1"/>
    <s v="5400"/>
    <s v="Marketing &amp; Advertising"/>
    <x v="3"/>
    <x v="0"/>
    <n v="7258.92"/>
    <x v="1"/>
  </r>
  <r>
    <d v="2025-12-01T00:00:00"/>
    <x v="11"/>
    <s v="D02"/>
    <x v="1"/>
    <s v="5400"/>
    <s v="Marketing &amp; Advertising"/>
    <x v="3"/>
    <x v="1"/>
    <n v="7488"/>
    <x v="1"/>
  </r>
  <r>
    <d v="2025-12-01T00:00:00"/>
    <x v="11"/>
    <s v="D02"/>
    <x v="1"/>
    <s v="5500"/>
    <s v="Professional Services"/>
    <x v="4"/>
    <x v="0"/>
    <n v="8360.85"/>
    <x v="1"/>
  </r>
  <r>
    <d v="2025-12-01T00:00:00"/>
    <x v="11"/>
    <s v="D02"/>
    <x v="1"/>
    <s v="5500"/>
    <s v="Professional Services"/>
    <x v="4"/>
    <x v="1"/>
    <n v="8320"/>
    <x v="1"/>
  </r>
  <r>
    <d v="2025-12-01T00:00:00"/>
    <x v="11"/>
    <s v="D02"/>
    <x v="1"/>
    <s v="5600"/>
    <s v="Office Supplies"/>
    <x v="5"/>
    <x v="0"/>
    <n v="936.93"/>
    <x v="1"/>
  </r>
  <r>
    <d v="2025-12-01T00:00:00"/>
    <x v="11"/>
    <s v="D02"/>
    <x v="1"/>
    <s v="5600"/>
    <s v="Office Supplies"/>
    <x v="5"/>
    <x v="1"/>
    <n v="936"/>
    <x v="1"/>
  </r>
  <r>
    <d v="2025-12-01T00:00:00"/>
    <x v="11"/>
    <s v="D02"/>
    <x v="1"/>
    <s v="5700"/>
    <s v="Training &amp; Development"/>
    <x v="5"/>
    <x v="0"/>
    <n v="1538.97"/>
    <x v="1"/>
  </r>
  <r>
    <d v="2025-12-01T00:00:00"/>
    <x v="11"/>
    <s v="D02"/>
    <x v="1"/>
    <s v="5700"/>
    <s v="Training &amp; Development"/>
    <x v="5"/>
    <x v="1"/>
    <n v="1456"/>
    <x v="1"/>
  </r>
  <r>
    <d v="2025-12-01T00:00:00"/>
    <x v="11"/>
    <s v="D03"/>
    <x v="2"/>
    <s v="5000"/>
    <s v="Salaries"/>
    <x v="0"/>
    <x v="0"/>
    <n v="152139.23000000001"/>
    <x v="1"/>
  </r>
  <r>
    <d v="2025-12-01T00:00:00"/>
    <x v="11"/>
    <s v="D03"/>
    <x v="2"/>
    <s v="5000"/>
    <s v="Salaries"/>
    <x v="0"/>
    <x v="1"/>
    <n v="151410"/>
    <x v="1"/>
  </r>
  <r>
    <d v="2025-12-01T00:00:00"/>
    <x v="11"/>
    <s v="D03"/>
    <x v="2"/>
    <s v="5100"/>
    <s v="Benefits"/>
    <x v="0"/>
    <x v="0"/>
    <n v="31700.87"/>
    <x v="1"/>
  </r>
  <r>
    <d v="2025-12-01T00:00:00"/>
    <x v="11"/>
    <s v="D03"/>
    <x v="2"/>
    <s v="5100"/>
    <s v="Benefits"/>
    <x v="0"/>
    <x v="1"/>
    <n v="33310.199999999997"/>
    <x v="1"/>
  </r>
  <r>
    <d v="2025-12-01T00:00:00"/>
    <x v="11"/>
    <s v="D03"/>
    <x v="2"/>
    <s v="5200"/>
    <s v="Occupancy &amp; Facilities"/>
    <x v="1"/>
    <x v="0"/>
    <n v="9326.18"/>
    <x v="1"/>
  </r>
  <r>
    <d v="2025-12-01T00:00:00"/>
    <x v="11"/>
    <s v="D03"/>
    <x v="2"/>
    <s v="5200"/>
    <s v="Occupancy &amp; Facilities"/>
    <x v="1"/>
    <x v="1"/>
    <n v="9000"/>
    <x v="1"/>
  </r>
  <r>
    <d v="2025-12-01T00:00:00"/>
    <x v="11"/>
    <s v="D03"/>
    <x v="2"/>
    <s v="5300"/>
    <s v="IT Software &amp; Subscriptions"/>
    <x v="2"/>
    <x v="0"/>
    <n v="42679.23"/>
    <x v="1"/>
  </r>
  <r>
    <d v="2025-12-01T00:00:00"/>
    <x v="11"/>
    <s v="D03"/>
    <x v="2"/>
    <s v="5300"/>
    <s v="IT Software &amp; Subscriptions"/>
    <x v="2"/>
    <x v="1"/>
    <n v="43680"/>
    <x v="1"/>
  </r>
  <r>
    <d v="2025-12-01T00:00:00"/>
    <x v="11"/>
    <s v="D03"/>
    <x v="2"/>
    <s v="5400"/>
    <s v="Marketing &amp; Advertising"/>
    <x v="3"/>
    <x v="0"/>
    <n v="1926.29"/>
    <x v="1"/>
  </r>
  <r>
    <d v="2025-12-01T00:00:00"/>
    <x v="11"/>
    <s v="D03"/>
    <x v="2"/>
    <s v="5400"/>
    <s v="Marketing &amp; Advertising"/>
    <x v="3"/>
    <x v="1"/>
    <n v="1872"/>
    <x v="1"/>
  </r>
  <r>
    <d v="2025-12-01T00:00:00"/>
    <x v="11"/>
    <s v="D03"/>
    <x v="2"/>
    <s v="5500"/>
    <s v="Professional Services"/>
    <x v="4"/>
    <x v="0"/>
    <n v="12671.59"/>
    <x v="1"/>
  </r>
  <r>
    <d v="2025-12-01T00:00:00"/>
    <x v="11"/>
    <s v="D03"/>
    <x v="2"/>
    <s v="5500"/>
    <s v="Professional Services"/>
    <x v="4"/>
    <x v="1"/>
    <n v="12480"/>
    <x v="1"/>
  </r>
  <r>
    <d v="2025-12-01T00:00:00"/>
    <x v="11"/>
    <s v="D03"/>
    <x v="2"/>
    <s v="5600"/>
    <s v="Office Supplies"/>
    <x v="5"/>
    <x v="0"/>
    <n v="828.03"/>
    <x v="1"/>
  </r>
  <r>
    <d v="2025-12-01T00:00:00"/>
    <x v="11"/>
    <s v="D03"/>
    <x v="2"/>
    <s v="5600"/>
    <s v="Office Supplies"/>
    <x v="5"/>
    <x v="1"/>
    <n v="832"/>
    <x v="1"/>
  </r>
  <r>
    <d v="2025-12-01T00:00:00"/>
    <x v="11"/>
    <s v="D03"/>
    <x v="2"/>
    <s v="5700"/>
    <s v="Training &amp; Development"/>
    <x v="5"/>
    <x v="0"/>
    <n v="1937.12"/>
    <x v="1"/>
  </r>
  <r>
    <d v="2025-12-01T00:00:00"/>
    <x v="11"/>
    <s v="D03"/>
    <x v="2"/>
    <s v="5700"/>
    <s v="Training &amp; Development"/>
    <x v="5"/>
    <x v="1"/>
    <n v="1872"/>
    <x v="1"/>
  </r>
  <r>
    <d v="2025-12-01T00:00:00"/>
    <x v="11"/>
    <s v="D04"/>
    <x v="3"/>
    <s v="5000"/>
    <s v="Salaries"/>
    <x v="0"/>
    <x v="0"/>
    <n v="63014.12"/>
    <x v="1"/>
  </r>
  <r>
    <d v="2025-12-01T00:00:00"/>
    <x v="11"/>
    <s v="D04"/>
    <x v="3"/>
    <s v="5000"/>
    <s v="Salaries"/>
    <x v="0"/>
    <x v="1"/>
    <n v="64375"/>
    <x v="1"/>
  </r>
  <r>
    <d v="2025-12-01T00:00:00"/>
    <x v="11"/>
    <s v="D04"/>
    <x v="3"/>
    <s v="5100"/>
    <s v="Benefits"/>
    <x v="0"/>
    <x v="0"/>
    <n v="14085.32"/>
    <x v="1"/>
  </r>
  <r>
    <d v="2025-12-01T00:00:00"/>
    <x v="11"/>
    <s v="D04"/>
    <x v="3"/>
    <s v="5100"/>
    <s v="Benefits"/>
    <x v="0"/>
    <x v="1"/>
    <n v="14162.5"/>
    <x v="1"/>
  </r>
  <r>
    <d v="2025-12-01T00:00:00"/>
    <x v="11"/>
    <s v="D04"/>
    <x v="3"/>
    <s v="5200"/>
    <s v="Occupancy &amp; Facilities"/>
    <x v="1"/>
    <x v="0"/>
    <n v="6405.99"/>
    <x v="1"/>
  </r>
  <r>
    <d v="2025-12-01T00:00:00"/>
    <x v="11"/>
    <s v="D04"/>
    <x v="3"/>
    <s v="5200"/>
    <s v="Occupancy &amp; Facilities"/>
    <x v="1"/>
    <x v="1"/>
    <n v="6000"/>
    <x v="1"/>
  </r>
  <r>
    <d v="2025-12-01T00:00:00"/>
    <x v="11"/>
    <s v="D04"/>
    <x v="3"/>
    <s v="5300"/>
    <s v="IT Software &amp; Subscriptions"/>
    <x v="2"/>
    <x v="0"/>
    <n v="7725.01"/>
    <x v="1"/>
  </r>
  <r>
    <d v="2025-12-01T00:00:00"/>
    <x v="11"/>
    <s v="D04"/>
    <x v="3"/>
    <s v="5300"/>
    <s v="IT Software &amp; Subscriptions"/>
    <x v="2"/>
    <x v="1"/>
    <n v="7280"/>
    <x v="1"/>
  </r>
  <r>
    <d v="2025-12-01T00:00:00"/>
    <x v="11"/>
    <s v="D04"/>
    <x v="3"/>
    <s v="5400"/>
    <s v="Marketing &amp; Advertising"/>
    <x v="3"/>
    <x v="0"/>
    <n v="34806.269999999997"/>
    <x v="1"/>
  </r>
  <r>
    <d v="2025-12-01T00:00:00"/>
    <x v="11"/>
    <s v="D04"/>
    <x v="3"/>
    <s v="5400"/>
    <s v="Marketing &amp; Advertising"/>
    <x v="3"/>
    <x v="1"/>
    <n v="34944"/>
    <x v="1"/>
  </r>
  <r>
    <d v="2025-12-01T00:00:00"/>
    <x v="11"/>
    <s v="D04"/>
    <x v="3"/>
    <s v="5500"/>
    <s v="Professional Services"/>
    <x v="4"/>
    <x v="0"/>
    <n v="6152.44"/>
    <x v="1"/>
  </r>
  <r>
    <d v="2025-12-01T00:00:00"/>
    <x v="11"/>
    <s v="D04"/>
    <x v="3"/>
    <s v="5500"/>
    <s v="Professional Services"/>
    <x v="4"/>
    <x v="1"/>
    <n v="6240"/>
    <x v="1"/>
  </r>
  <r>
    <d v="2025-12-01T00:00:00"/>
    <x v="11"/>
    <s v="D04"/>
    <x v="3"/>
    <s v="5600"/>
    <s v="Office Supplies"/>
    <x v="5"/>
    <x v="0"/>
    <n v="697.55"/>
    <x v="1"/>
  </r>
  <r>
    <d v="2025-12-01T00:00:00"/>
    <x v="11"/>
    <s v="D04"/>
    <x v="3"/>
    <s v="5600"/>
    <s v="Office Supplies"/>
    <x v="5"/>
    <x v="1"/>
    <n v="728"/>
    <x v="1"/>
  </r>
  <r>
    <d v="2025-12-01T00:00:00"/>
    <x v="11"/>
    <s v="D04"/>
    <x v="3"/>
    <s v="5700"/>
    <s v="Training &amp; Development"/>
    <x v="5"/>
    <x v="0"/>
    <n v="1175.3900000000001"/>
    <x v="1"/>
  </r>
  <r>
    <d v="2025-12-01T00:00:00"/>
    <x v="11"/>
    <s v="D04"/>
    <x v="3"/>
    <s v="5700"/>
    <s v="Training &amp; Development"/>
    <x v="5"/>
    <x v="1"/>
    <n v="1144"/>
    <x v="1"/>
  </r>
  <r>
    <d v="2025-12-01T00:00:00"/>
    <x v="11"/>
    <s v="D05"/>
    <x v="4"/>
    <s v="5000"/>
    <s v="Salaries"/>
    <x v="0"/>
    <x v="0"/>
    <n v="52301.03"/>
    <x v="1"/>
  </r>
  <r>
    <d v="2025-12-01T00:00:00"/>
    <x v="11"/>
    <s v="D05"/>
    <x v="4"/>
    <s v="5000"/>
    <s v="Salaries"/>
    <x v="0"/>
    <x v="1"/>
    <n v="53560"/>
    <x v="1"/>
  </r>
  <r>
    <d v="2025-12-01T00:00:00"/>
    <x v="11"/>
    <s v="D05"/>
    <x v="4"/>
    <s v="5100"/>
    <s v="Benefits"/>
    <x v="0"/>
    <x v="0"/>
    <n v="11945.19"/>
    <x v="1"/>
  </r>
  <r>
    <d v="2025-12-01T00:00:00"/>
    <x v="11"/>
    <s v="D05"/>
    <x v="4"/>
    <s v="5100"/>
    <s v="Benefits"/>
    <x v="0"/>
    <x v="1"/>
    <n v="11783.2"/>
    <x v="1"/>
  </r>
  <r>
    <d v="2025-12-01T00:00:00"/>
    <x v="11"/>
    <s v="D05"/>
    <x v="4"/>
    <s v="5200"/>
    <s v="Occupancy &amp; Facilities"/>
    <x v="1"/>
    <x v="0"/>
    <n v="3917.49"/>
    <x v="1"/>
  </r>
  <r>
    <d v="2025-12-01T00:00:00"/>
    <x v="11"/>
    <s v="D05"/>
    <x v="4"/>
    <s v="5200"/>
    <s v="Occupancy &amp; Facilities"/>
    <x v="1"/>
    <x v="1"/>
    <n v="4000"/>
    <x v="1"/>
  </r>
  <r>
    <d v="2025-12-01T00:00:00"/>
    <x v="11"/>
    <s v="D05"/>
    <x v="4"/>
    <s v="5300"/>
    <s v="IT Software &amp; Subscriptions"/>
    <x v="2"/>
    <x v="0"/>
    <n v="5416.98"/>
    <x v="1"/>
  </r>
  <r>
    <d v="2025-12-01T00:00:00"/>
    <x v="11"/>
    <s v="D05"/>
    <x v="4"/>
    <s v="5300"/>
    <s v="IT Software &amp; Subscriptions"/>
    <x v="2"/>
    <x v="1"/>
    <n v="5200"/>
    <x v="1"/>
  </r>
  <r>
    <d v="2025-12-01T00:00:00"/>
    <x v="11"/>
    <s v="D05"/>
    <x v="4"/>
    <s v="5400"/>
    <s v="Marketing &amp; Advertising"/>
    <x v="3"/>
    <x v="0"/>
    <n v="1417.81"/>
    <x v="1"/>
  </r>
  <r>
    <d v="2025-12-01T00:00:00"/>
    <x v="11"/>
    <s v="D05"/>
    <x v="4"/>
    <s v="5400"/>
    <s v="Marketing &amp; Advertising"/>
    <x v="3"/>
    <x v="1"/>
    <n v="1497.6"/>
    <x v="1"/>
  </r>
  <r>
    <d v="2025-12-01T00:00:00"/>
    <x v="11"/>
    <s v="D05"/>
    <x v="4"/>
    <s v="5500"/>
    <s v="Professional Services"/>
    <x v="4"/>
    <x v="0"/>
    <n v="3526.82"/>
    <x v="1"/>
  </r>
  <r>
    <d v="2025-12-01T00:00:00"/>
    <x v="11"/>
    <s v="D05"/>
    <x v="4"/>
    <s v="5500"/>
    <s v="Professional Services"/>
    <x v="4"/>
    <x v="1"/>
    <n v="3640"/>
    <x v="1"/>
  </r>
  <r>
    <d v="2025-12-01T00:00:00"/>
    <x v="11"/>
    <s v="D05"/>
    <x v="4"/>
    <s v="5600"/>
    <s v="Office Supplies"/>
    <x v="5"/>
    <x v="0"/>
    <n v="650.41999999999996"/>
    <x v="1"/>
  </r>
  <r>
    <d v="2025-12-01T00:00:00"/>
    <x v="11"/>
    <s v="D05"/>
    <x v="4"/>
    <s v="5600"/>
    <s v="Office Supplies"/>
    <x v="5"/>
    <x v="1"/>
    <n v="624"/>
    <x v="1"/>
  </r>
  <r>
    <d v="2025-12-01T00:00:00"/>
    <x v="11"/>
    <s v="D05"/>
    <x v="4"/>
    <s v="5700"/>
    <s v="Training &amp; Development"/>
    <x v="5"/>
    <x v="0"/>
    <n v="1575.18"/>
    <x v="1"/>
  </r>
  <r>
    <d v="2025-12-01T00:00:00"/>
    <x v="11"/>
    <s v="D05"/>
    <x v="4"/>
    <s v="5700"/>
    <s v="Training &amp; Development"/>
    <x v="5"/>
    <x v="1"/>
    <n v="166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BAC94-3B82-4678-9541-3CE1933885D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21:C28" firstHeaderRow="1" firstDataRow="2" firstDataCol="1" rowPageCount="1" colPageCount="1"/>
  <pivotFields count="10">
    <pivotField numFmtId="167" showAll="0"/>
    <pivotField showAll="0"/>
    <pivotField showAll="0"/>
    <pivotField showAll="0"/>
    <pivotField showAll="0"/>
    <pivotField showAll="0"/>
    <pivotField axis="axisRow" showAll="0">
      <items count="7">
        <item x="1"/>
        <item x="2"/>
        <item x="3"/>
        <item x="5"/>
        <item x="0"/>
        <item x="4"/>
        <item t="default"/>
      </items>
    </pivotField>
    <pivotField axis="axisCol" showAll="0">
      <items count="3">
        <item x="0"/>
        <item x="1"/>
        <item t="default"/>
      </items>
    </pivotField>
    <pivotField dataField="1" numFmtId="165" showAll="0"/>
    <pivotField axis="axisPage" showAll="0">
      <items count="3">
        <item x="1"/>
        <item x="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7"/>
  </colFields>
  <colItems count="2">
    <i>
      <x/>
    </i>
    <i>
      <x v="1"/>
    </i>
  </colItems>
  <pageFields count="1">
    <pageField fld="9" item="1" hier="-1"/>
  </pageFields>
  <dataFields count="1">
    <dataField name="Sum of Amount" fld="8" baseField="0" baseItem="0" numFmtId="165"/>
  </dataFields>
  <formats count="10">
    <format dxfId="15">
      <pivotArea type="all" dataOnly="0" outline="0" fieldPosition="0"/>
    </format>
    <format dxfId="14">
      <pivotArea outline="0" collapsedLevelsAreSubtotals="1" fieldPosition="0"/>
    </format>
    <format dxfId="13">
      <pivotArea type="origin" dataOnly="0" labelOnly="1" outline="0" fieldPosition="0"/>
    </format>
    <format dxfId="12">
      <pivotArea field="7" type="button" dataOnly="0" labelOnly="1" outline="0" axis="axisCol" fieldPosition="0"/>
    </format>
    <format dxfId="11">
      <pivotArea type="topRight" dataOnly="0" labelOnly="1" outline="0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0"/>
        </references>
      </pivotArea>
    </format>
    <format dxfId="8">
      <pivotArea dataOnly="0" labelOnly="1" fieldPosition="0">
        <references count="1">
          <reference field="7" count="0"/>
        </references>
      </pivotArea>
    </format>
    <format dxfId="7">
      <pivotArea dataOnly="0" labelOnly="1" outline="0" fieldPosition="0">
        <references count="1">
          <reference field="9" count="1">
            <x v="1"/>
          </reference>
        </references>
      </pivotArea>
    </format>
    <format dxfId="6">
      <pivotArea field="7" type="button" dataOnly="0" labelOnly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8B9796-C755-4795-86AB-801C163FE04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0:C16" firstHeaderRow="1" firstDataRow="2" firstDataCol="1" rowPageCount="1" colPageCount="1"/>
  <pivotFields count="10">
    <pivotField numFmtId="167" showAll="0" defaultSubtotal="0"/>
    <pivotField showAll="0" defaultSubtotal="0"/>
    <pivotField showAll="0" defaultSubtotal="0"/>
    <pivotField axis="axisRow" showAll="0" defaultSubtotal="0">
      <items count="5">
        <item x="0"/>
        <item x="4"/>
        <item x="2"/>
        <item x="1"/>
        <item x="3"/>
      </items>
    </pivotField>
    <pivotField showAll="0" defaultSubtotal="0"/>
    <pivotField showAll="0" defaultSubtotal="0"/>
    <pivotField showAll="0" defaultSubtotal="0"/>
    <pivotField axis="axisCol" showAll="0" defaultSubtotal="0">
      <items count="2">
        <item x="0"/>
        <item x="1"/>
      </items>
    </pivotField>
    <pivotField dataField="1" numFmtId="165" showAll="0" defaultSubtotal="0"/>
    <pivotField axis="axisPage" showAll="0" defaultSubtotal="0">
      <items count="2">
        <item x="1"/>
        <item x="0"/>
      </items>
    </pivotField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Fields count="1">
    <field x="7"/>
  </colFields>
  <colItems count="2">
    <i>
      <x/>
    </i>
    <i>
      <x v="1"/>
    </i>
  </colItems>
  <pageFields count="1">
    <pageField fld="9" item="1" hier="-1"/>
  </pageFields>
  <dataFields count="1">
    <dataField name="Sum of Amount" fld="8" baseField="0" baseItem="0" numFmtId="165"/>
  </dataFields>
  <formats count="8"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7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3" type="button" dataOnly="0" labelOnly="1" outline="0" axis="axisRow" fieldPosition="0"/>
    </format>
    <format dxfId="17">
      <pivotArea dataOnly="0" labelOnly="1" fieldPosition="0">
        <references count="1">
          <reference field="3" count="0"/>
        </references>
      </pivotArea>
    </format>
    <format dxfId="16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96B033-44F1-4EE6-B803-F29C72696CB9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B5" firstHeaderRow="1" firstDataRow="1" firstDataCol="1" rowPageCount="1" colPageCount="1"/>
  <pivotFields count="10">
    <pivotField numFmtId="167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2">
        <item x="0"/>
        <item x="1"/>
      </items>
    </pivotField>
    <pivotField dataField="1" numFmtId="165" showAll="0" defaultSubtotal="0"/>
    <pivotField axis="axisPage" showAll="0" defaultSubtotal="0">
      <items count="2">
        <item x="1"/>
        <item x="0"/>
      </items>
    </pivotField>
  </pivotFields>
  <rowFields count="1">
    <field x="7"/>
  </rowFields>
  <rowItems count="2">
    <i>
      <x/>
    </i>
    <i>
      <x v="1"/>
    </i>
  </rowItems>
  <colItems count="1">
    <i/>
  </colItems>
  <pageFields count="1">
    <pageField fld="9" item="1" hier="-1"/>
  </pageFields>
  <dataFields count="1">
    <dataField name="Sum of Amount" fld="8" baseField="0" baseItem="0" numFmtId="165"/>
  </dataFields>
  <formats count="9">
    <format dxfId="32">
      <pivotArea collapsedLevelsAreSubtotals="1" fieldPosition="0">
        <references count="1">
          <reference field="7" count="1">
            <x v="0"/>
          </reference>
        </references>
      </pivotArea>
    </format>
    <format dxfId="31">
      <pivotArea field="7" type="button" dataOnly="0" labelOnly="1" outline="0" axis="axisRow" fieldPosition="0"/>
    </format>
    <format dxfId="30">
      <pivotArea dataOnly="0" labelOnly="1" fieldPosition="0">
        <references count="1">
          <reference field="7" count="1">
            <x v="0"/>
          </reference>
        </references>
      </pivotArea>
    </format>
    <format dxfId="29">
      <pivotArea dataOnly="0" labelOnly="1" outline="0" axis="axisValues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7" type="button" dataOnly="0" labelOnly="1" outline="0" axis="axisRow" fieldPosition="0"/>
    </format>
    <format dxfId="25">
      <pivotArea dataOnly="0" labelOnly="1" fieldPosition="0">
        <references count="1">
          <reference field="7" count="0"/>
        </references>
      </pivotArea>
    </format>
    <format dxfId="2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E9BEA4-5078-456C-BF22-C70903A7537D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3:C44" firstHeaderRow="1" firstDataRow="2" firstDataCol="1" rowPageCount="1" colPageCount="1"/>
  <pivotFields count="10">
    <pivotField numFmtId="167" showAll="0"/>
    <pivotField axis="axisRow" showAll="0">
      <items count="13">
        <item x="3"/>
        <item x="7"/>
        <item x="11"/>
        <item x="1"/>
        <item x="0"/>
        <item x="6"/>
        <item x="5"/>
        <item x="2"/>
        <item x="4"/>
        <item x="10"/>
        <item x="9"/>
        <item x="8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dataField="1" numFmtId="165" showAll="0"/>
    <pivotField axis="axisPage" showAll="0">
      <items count="3">
        <item x="1"/>
        <item x="0"/>
        <item t="default"/>
      </items>
    </pivotField>
  </pivotFields>
  <rowFields count="1">
    <field x="1"/>
  </rowFields>
  <rowItems count="10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</rowItems>
  <colFields count="1">
    <field x="7"/>
  </colFields>
  <colItems count="2">
    <i>
      <x/>
    </i>
    <i>
      <x v="1"/>
    </i>
  </colItems>
  <pageFields count="1">
    <pageField fld="9" item="1" hier="-1"/>
  </pageFields>
  <dataFields count="1">
    <dataField name="Sum of Amount" fld="8" baseField="0" baseItem="0" numFmtId="165"/>
  </dataFields>
  <formats count="8">
    <format dxfId="40">
      <pivotArea type="all" dataOnly="0" outline="0" fieldPosition="0"/>
    </format>
    <format dxfId="39">
      <pivotArea outline="0" collapsedLevelsAreSubtotals="1" fieldPosition="0"/>
    </format>
    <format dxfId="38">
      <pivotArea type="origin" dataOnly="0" labelOnly="1" outline="0" fieldPosition="0"/>
    </format>
    <format dxfId="37">
      <pivotArea field="7" type="button" dataOnly="0" labelOnly="1" outline="0" axis="axisCol" fieldPosition="0"/>
    </format>
    <format dxfId="36">
      <pivotArea type="topRight" dataOnly="0" labelOnly="1" outline="0" fieldPosition="0"/>
    </format>
    <format dxfId="35">
      <pivotArea field="1" type="button" dataOnly="0" labelOnly="1" outline="0" axis="axisRow" fieldPosition="0"/>
    </format>
    <format dxfId="34">
      <pivotArea dataOnly="0" labelOnly="1" fieldPosition="0">
        <references count="1">
          <reference field="1" count="10">
            <x v="0"/>
            <x v="1"/>
            <x v="3"/>
            <x v="4"/>
            <x v="5"/>
            <x v="6"/>
            <x v="7"/>
            <x v="8"/>
            <x v="10"/>
            <x v="11"/>
          </reference>
        </references>
      </pivotArea>
    </format>
    <format dxfId="33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FactFinance" displayName="tblFactFinance" ref="A1:J961">
  <autoFilter ref="A1:J961" xr:uid="{00000000-000C-0000-FFFF-FFFF07000000}"/>
  <tableColumns count="10">
    <tableColumn id="1" xr3:uid="{00000000-0010-0000-0700-000001000000}" name="MonthStart" dataDxfId="45"/>
    <tableColumn id="2" xr3:uid="{00000000-0010-0000-0700-000002000000}" name="MonthLabel" dataDxfId="44"/>
    <tableColumn id="3" xr3:uid="{00000000-0010-0000-0700-000003000000}" name="DeptID" dataDxfId="43"/>
    <tableColumn id="4" xr3:uid="{00000000-0010-0000-0700-000004000000}" name="DeptName"/>
    <tableColumn id="5" xr3:uid="{00000000-0010-0000-0700-000005000000}" name="GLAccountID"/>
    <tableColumn id="6" xr3:uid="{00000000-0010-0000-0700-000006000000}" name="AccountName"/>
    <tableColumn id="7" xr3:uid="{00000000-0010-0000-0700-000007000000}" name="Category"/>
    <tableColumn id="8" xr3:uid="{00000000-0010-0000-0700-000008000000}" name="Version" dataDxfId="42"/>
    <tableColumn id="9" xr3:uid="{00000000-0010-0000-0700-000009000000}" name="Amount"/>
    <tableColumn id="10" xr3:uid="{0AB11001-264D-4F0C-9722-553633B7561B}" name="Is_Closed_Month" dataDxfId="41">
      <calculatedColumnFormula>IF(tblFactFinance[[#This Row],[MonthStart]] &lt;= Inputs!$B$1, TRUE, FALSE)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Dept" displayName="tblDept" ref="A1:D6">
  <autoFilter ref="A1:D6" xr:uid="{00000000-0009-0000-0100-000004000000}"/>
  <tableColumns count="4">
    <tableColumn id="1" xr3:uid="{00000000-0010-0000-0300-000001000000}" name="DeptID"/>
    <tableColumn id="2" xr3:uid="{00000000-0010-0000-0300-000002000000}" name="Department"/>
    <tableColumn id="3" xr3:uid="{00000000-0010-0000-0300-000003000000}" name="CostCenter"/>
    <tableColumn id="4" xr3:uid="{00000000-0010-0000-0300-000004000000}" name="BusinessUni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GL" displayName="tblGL" ref="A1:D9">
  <autoFilter ref="A1:D9" xr:uid="{00000000-0009-0000-0100-000005000000}"/>
  <tableColumns count="4">
    <tableColumn id="1" xr3:uid="{00000000-0010-0000-0400-000001000000}" name="GLAccountID"/>
    <tableColumn id="2" xr3:uid="{00000000-0010-0000-0400-000002000000}" name="AccountName"/>
    <tableColumn id="3" xr3:uid="{00000000-0010-0000-0400-000003000000}" name="Category"/>
    <tableColumn id="4" xr3:uid="{00000000-0010-0000-0400-000004000000}" name="DriverTyp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Date" displayName="tblDate" ref="A1:E13">
  <autoFilter ref="A1:E13" xr:uid="{00000000-0009-0000-0100-000006000000}"/>
  <tableColumns count="5">
    <tableColumn id="1" xr3:uid="{00000000-0010-0000-0500-000001000000}" name="MonthStart"/>
    <tableColumn id="2" xr3:uid="{00000000-0010-0000-0500-000002000000}" name="MonthLabel"/>
    <tableColumn id="3" xr3:uid="{00000000-0010-0000-0500-000003000000}" name="MonthNum"/>
    <tableColumn id="4" xr3:uid="{00000000-0010-0000-0500-000004000000}" name="FiscalYear"/>
    <tableColumn id="5" xr3:uid="{00000000-0010-0000-0500-000005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DD13-AF86-48BF-92AA-33FB191A7548}">
  <dimension ref="A1:B29"/>
  <sheetViews>
    <sheetView workbookViewId="0">
      <selection activeCell="E13" sqref="E13"/>
    </sheetView>
  </sheetViews>
  <sheetFormatPr defaultRowHeight="14.4" x14ac:dyDescent="0.3"/>
  <cols>
    <col min="1" max="1" width="56.44140625" customWidth="1"/>
  </cols>
  <sheetData>
    <row r="1" spans="1:2" ht="21" x14ac:dyDescent="0.3">
      <c r="A1" s="1" t="s">
        <v>132</v>
      </c>
    </row>
    <row r="3" spans="1:2" x14ac:dyDescent="0.3">
      <c r="A3" s="22" t="s">
        <v>133</v>
      </c>
    </row>
    <row r="4" spans="1:2" x14ac:dyDescent="0.3">
      <c r="A4" t="s">
        <v>163</v>
      </c>
    </row>
    <row r="5" spans="1:2" x14ac:dyDescent="0.3">
      <c r="A5" t="s">
        <v>139</v>
      </c>
    </row>
    <row r="7" spans="1:2" x14ac:dyDescent="0.3">
      <c r="A7" t="s">
        <v>140</v>
      </c>
    </row>
    <row r="9" spans="1:2" x14ac:dyDescent="0.3">
      <c r="A9" s="22" t="s">
        <v>134</v>
      </c>
    </row>
    <row r="10" spans="1:2" x14ac:dyDescent="0.3">
      <c r="A10" t="s">
        <v>141</v>
      </c>
    </row>
    <row r="11" spans="1:2" x14ac:dyDescent="0.3">
      <c r="A11" t="s">
        <v>142</v>
      </c>
    </row>
    <row r="12" spans="1:2" x14ac:dyDescent="0.3">
      <c r="A12" t="s">
        <v>143</v>
      </c>
    </row>
    <row r="13" spans="1:2" x14ac:dyDescent="0.3">
      <c r="A13" t="s">
        <v>144</v>
      </c>
    </row>
    <row r="15" spans="1:2" x14ac:dyDescent="0.3">
      <c r="A15" s="22" t="s">
        <v>135</v>
      </c>
    </row>
    <row r="16" spans="1:2" x14ac:dyDescent="0.3">
      <c r="A16" s="22" t="s">
        <v>161</v>
      </c>
      <c r="B16" t="s">
        <v>162</v>
      </c>
    </row>
    <row r="17" spans="1:2" x14ac:dyDescent="0.3">
      <c r="A17" s="22" t="s">
        <v>136</v>
      </c>
      <c r="B17" t="s">
        <v>145</v>
      </c>
    </row>
    <row r="18" spans="1:2" x14ac:dyDescent="0.3">
      <c r="A18" s="22" t="s">
        <v>158</v>
      </c>
      <c r="B18" t="s">
        <v>146</v>
      </c>
    </row>
    <row r="19" spans="1:2" x14ac:dyDescent="0.3">
      <c r="A19" s="22" t="s">
        <v>159</v>
      </c>
      <c r="B19" t="s">
        <v>147</v>
      </c>
    </row>
    <row r="20" spans="1:2" x14ac:dyDescent="0.3">
      <c r="A20" s="22" t="s">
        <v>160</v>
      </c>
      <c r="B20" t="s">
        <v>148</v>
      </c>
    </row>
    <row r="21" spans="1:2" x14ac:dyDescent="0.3">
      <c r="A21" s="22" t="s">
        <v>137</v>
      </c>
      <c r="B21" t="s">
        <v>151</v>
      </c>
    </row>
    <row r="22" spans="1:2" x14ac:dyDescent="0.3">
      <c r="A22" s="22" t="s">
        <v>138</v>
      </c>
      <c r="B22" t="s">
        <v>152</v>
      </c>
    </row>
    <row r="23" spans="1:2" x14ac:dyDescent="0.3">
      <c r="A23" s="22" t="s">
        <v>149</v>
      </c>
      <c r="B23" t="s">
        <v>150</v>
      </c>
    </row>
    <row r="25" spans="1:2" x14ac:dyDescent="0.3">
      <c r="A25" s="22" t="s">
        <v>153</v>
      </c>
    </row>
    <row r="26" spans="1:2" x14ac:dyDescent="0.3">
      <c r="A26" t="s">
        <v>154</v>
      </c>
    </row>
    <row r="27" spans="1:2" x14ac:dyDescent="0.3">
      <c r="A27" t="s">
        <v>155</v>
      </c>
    </row>
    <row r="28" spans="1:2" x14ac:dyDescent="0.3">
      <c r="A28" t="s">
        <v>156</v>
      </c>
    </row>
    <row r="29" spans="1:2" x14ac:dyDescent="0.3">
      <c r="A29" t="s">
        <v>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889BC-D364-4A73-AA6B-AB98E46FABBD}">
  <dimension ref="A1:B2"/>
  <sheetViews>
    <sheetView workbookViewId="0">
      <selection activeCell="L7" sqref="L7"/>
    </sheetView>
  </sheetViews>
  <sheetFormatPr defaultRowHeight="14.4" x14ac:dyDescent="0.3"/>
  <cols>
    <col min="1" max="1" width="28.6640625" bestFit="1" customWidth="1"/>
    <col min="2" max="2" width="11.21875" bestFit="1" customWidth="1"/>
  </cols>
  <sheetData>
    <row r="1" spans="1:2" x14ac:dyDescent="0.3">
      <c r="A1" s="12" t="s">
        <v>85</v>
      </c>
      <c r="B1" s="13">
        <v>45952</v>
      </c>
    </row>
    <row r="2" spans="1:2" x14ac:dyDescent="0.3">
      <c r="A2" s="12" t="s">
        <v>86</v>
      </c>
      <c r="B2" s="21">
        <v>0.05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61"/>
  <sheetViews>
    <sheetView workbookViewId="0">
      <pane ySplit="1" topLeftCell="A2" activePane="bottomLeft" state="frozen"/>
      <selection pane="bottomLeft" activeCell="D12" sqref="D12"/>
    </sheetView>
  </sheetViews>
  <sheetFormatPr defaultRowHeight="14.4" x14ac:dyDescent="0.3"/>
  <cols>
    <col min="1" max="2" width="12" customWidth="1"/>
    <col min="3" max="3" width="8" customWidth="1"/>
    <col min="4" max="4" width="24" customWidth="1"/>
    <col min="5" max="5" width="10" customWidth="1"/>
    <col min="6" max="6" width="28" customWidth="1"/>
    <col min="7" max="7" width="20" customWidth="1"/>
    <col min="8" max="9" width="14" customWidth="1"/>
    <col min="10" max="10" width="18" style="18" bestFit="1" customWidth="1"/>
  </cols>
  <sheetData>
    <row r="1" spans="1:10" ht="28.8" x14ac:dyDescent="0.3">
      <c r="A1" s="14" t="s">
        <v>49</v>
      </c>
      <c r="B1" s="16" t="s">
        <v>50</v>
      </c>
      <c r="C1" s="4" t="s">
        <v>0</v>
      </c>
      <c r="D1" s="4" t="s">
        <v>67</v>
      </c>
      <c r="E1" s="4" t="s">
        <v>6</v>
      </c>
      <c r="F1" s="4" t="s">
        <v>30</v>
      </c>
      <c r="G1" s="4" t="s">
        <v>31</v>
      </c>
      <c r="H1" s="4" t="s">
        <v>68</v>
      </c>
      <c r="I1" s="4" t="s">
        <v>69</v>
      </c>
      <c r="J1" s="19" t="s">
        <v>87</v>
      </c>
    </row>
    <row r="2" spans="1:10" x14ac:dyDescent="0.3">
      <c r="A2" s="15">
        <v>45658</v>
      </c>
      <c r="B2" s="17" t="s">
        <v>54</v>
      </c>
      <c r="C2" s="3" t="s">
        <v>1</v>
      </c>
      <c r="D2" s="3" t="str">
        <f>VLOOKUP(C2, Ref_Department!$A$2:$D$6, 2, FALSE)</f>
        <v>Branch Operations</v>
      </c>
      <c r="E2" s="3" t="s">
        <v>33</v>
      </c>
      <c r="F2" s="3" t="str">
        <f>VLOOKUP(E2, Ref_GLAccount!$A$2:$D$9, 2, FALSE)</f>
        <v>Salaries</v>
      </c>
      <c r="G2" s="3" t="str">
        <f>VLOOKUP(E2, Ref_GLAccount!$A$2:$D$9, 3, FALSE)</f>
        <v>Personnel</v>
      </c>
      <c r="H2" s="6" t="s">
        <v>66</v>
      </c>
      <c r="I2" s="7">
        <v>199692.38</v>
      </c>
      <c r="J2" s="18" t="b">
        <f>IF(tblFactFinance[[#This Row],[MonthStart]] &lt;= Inputs!$B$1, TRUE, FALSE)</f>
        <v>1</v>
      </c>
    </row>
    <row r="3" spans="1:10" x14ac:dyDescent="0.3">
      <c r="A3" s="15">
        <v>45658</v>
      </c>
      <c r="B3" s="17" t="s">
        <v>54</v>
      </c>
      <c r="C3" s="3" t="s">
        <v>1</v>
      </c>
      <c r="D3" s="3" t="str">
        <f>VLOOKUP(C3, Ref_Department!$A$2:$D$6, 2, FALSE)</f>
        <v>Branch Operations</v>
      </c>
      <c r="E3" s="3" t="s">
        <v>33</v>
      </c>
      <c r="F3" s="3" t="str">
        <f>VLOOKUP(E3, Ref_GLAccount!$A$2:$D$9, 2, FALSE)</f>
        <v>Salaries</v>
      </c>
      <c r="G3" s="3" t="str">
        <f>VLOOKUP(E3, Ref_GLAccount!$A$2:$D$9, 3, FALSE)</f>
        <v>Personnel</v>
      </c>
      <c r="H3" s="6" t="s">
        <v>70</v>
      </c>
      <c r="I3" s="7">
        <v>200850</v>
      </c>
      <c r="J3" s="18" t="b">
        <f>IF(tblFactFinance[[#This Row],[MonthStart]] &lt;= Inputs!$B$1, TRUE, FALSE)</f>
        <v>1</v>
      </c>
    </row>
    <row r="4" spans="1:10" x14ac:dyDescent="0.3">
      <c r="A4" s="15">
        <v>45658</v>
      </c>
      <c r="B4" s="17" t="s">
        <v>54</v>
      </c>
      <c r="C4" s="3" t="s">
        <v>1</v>
      </c>
      <c r="D4" s="3" t="str">
        <f>VLOOKUP(C4, Ref_Department!$A$2:$D$6, 2, FALSE)</f>
        <v>Branch Operations</v>
      </c>
      <c r="E4" s="3" t="s">
        <v>37</v>
      </c>
      <c r="F4" s="3" t="str">
        <f>VLOOKUP(E4, Ref_GLAccount!$A$2:$D$9, 2, FALSE)</f>
        <v>Benefits</v>
      </c>
      <c r="G4" s="3" t="str">
        <f>VLOOKUP(E4, Ref_GLAccount!$A$2:$D$9, 3, FALSE)</f>
        <v>Personnel</v>
      </c>
      <c r="H4" s="6" t="s">
        <v>66</v>
      </c>
      <c r="I4" s="7">
        <v>43881.4</v>
      </c>
      <c r="J4" s="18" t="b">
        <f>IF(tblFactFinance[[#This Row],[MonthStart]] &lt;= Inputs!$B$1, TRUE, FALSE)</f>
        <v>1</v>
      </c>
    </row>
    <row r="5" spans="1:10" x14ac:dyDescent="0.3">
      <c r="A5" s="15">
        <v>45658</v>
      </c>
      <c r="B5" s="17" t="s">
        <v>54</v>
      </c>
      <c r="C5" s="3" t="s">
        <v>1</v>
      </c>
      <c r="D5" s="3" t="str">
        <f>VLOOKUP(C5, Ref_Department!$A$2:$D$6, 2, FALSE)</f>
        <v>Branch Operations</v>
      </c>
      <c r="E5" s="3" t="s">
        <v>37</v>
      </c>
      <c r="F5" s="3" t="str">
        <f>VLOOKUP(E5, Ref_GLAccount!$A$2:$D$9, 2, FALSE)</f>
        <v>Benefits</v>
      </c>
      <c r="G5" s="3" t="str">
        <f>VLOOKUP(E5, Ref_GLAccount!$A$2:$D$9, 3, FALSE)</f>
        <v>Personnel</v>
      </c>
      <c r="H5" s="6" t="s">
        <v>70</v>
      </c>
      <c r="I5" s="7">
        <v>44187</v>
      </c>
      <c r="J5" s="18" t="b">
        <f>IF(tblFactFinance[[#This Row],[MonthStart]] &lt;= Inputs!$B$1, TRUE, FALSE)</f>
        <v>1</v>
      </c>
    </row>
    <row r="6" spans="1:10" x14ac:dyDescent="0.3">
      <c r="A6" s="15">
        <v>45658</v>
      </c>
      <c r="B6" s="17" t="s">
        <v>54</v>
      </c>
      <c r="C6" s="3" t="s">
        <v>1</v>
      </c>
      <c r="D6" s="3" t="str">
        <f>VLOOKUP(C6, Ref_Department!$A$2:$D$6, 2, FALSE)</f>
        <v>Branch Operations</v>
      </c>
      <c r="E6" s="3" t="s">
        <v>7</v>
      </c>
      <c r="F6" s="3" t="str">
        <f>VLOOKUP(E6, Ref_GLAccount!$A$2:$D$9, 2, FALSE)</f>
        <v>Occupancy &amp; Facilities</v>
      </c>
      <c r="G6" s="3" t="str">
        <f>VLOOKUP(E6, Ref_GLAccount!$A$2:$D$9, 3, FALSE)</f>
        <v>Facilities</v>
      </c>
      <c r="H6" s="6" t="s">
        <v>66</v>
      </c>
      <c r="I6" s="7">
        <v>40100.65</v>
      </c>
      <c r="J6" s="18" t="b">
        <f>IF(tblFactFinance[[#This Row],[MonthStart]] &lt;= Inputs!$B$1, TRUE, FALSE)</f>
        <v>1</v>
      </c>
    </row>
    <row r="7" spans="1:10" x14ac:dyDescent="0.3">
      <c r="A7" s="15">
        <v>45658</v>
      </c>
      <c r="B7" s="17" t="s">
        <v>54</v>
      </c>
      <c r="C7" s="3" t="s">
        <v>1</v>
      </c>
      <c r="D7" s="3" t="str">
        <f>VLOOKUP(C7, Ref_Department!$A$2:$D$6, 2, FALSE)</f>
        <v>Branch Operations</v>
      </c>
      <c r="E7" s="3" t="s">
        <v>7</v>
      </c>
      <c r="F7" s="3" t="str">
        <f>VLOOKUP(E7, Ref_GLAccount!$A$2:$D$9, 2, FALSE)</f>
        <v>Occupancy &amp; Facilities</v>
      </c>
      <c r="G7" s="3" t="str">
        <f>VLOOKUP(E7, Ref_GLAccount!$A$2:$D$9, 3, FALSE)</f>
        <v>Facilities</v>
      </c>
      <c r="H7" s="6" t="s">
        <v>70</v>
      </c>
      <c r="I7" s="7">
        <v>38000</v>
      </c>
      <c r="J7" s="18" t="b">
        <f>IF(tblFactFinance[[#This Row],[MonthStart]] &lt;= Inputs!$B$1, TRUE, FALSE)</f>
        <v>1</v>
      </c>
    </row>
    <row r="8" spans="1:10" x14ac:dyDescent="0.3">
      <c r="A8" s="15">
        <v>45658</v>
      </c>
      <c r="B8" s="17" t="s">
        <v>54</v>
      </c>
      <c r="C8" s="3" t="s">
        <v>1</v>
      </c>
      <c r="D8" s="3" t="str">
        <f>VLOOKUP(C8, Ref_Department!$A$2:$D$6, 2, FALSE)</f>
        <v>Branch Operations</v>
      </c>
      <c r="E8" s="3" t="s">
        <v>8</v>
      </c>
      <c r="F8" s="3" t="str">
        <f>VLOOKUP(E8, Ref_GLAccount!$A$2:$D$9, 2, FALSE)</f>
        <v>IT Software &amp; Subscriptions</v>
      </c>
      <c r="G8" s="3" t="str">
        <f>VLOOKUP(E8, Ref_GLAccount!$A$2:$D$9, 3, FALSE)</f>
        <v>IT</v>
      </c>
      <c r="H8" s="6" t="s">
        <v>66</v>
      </c>
      <c r="I8" s="7">
        <v>12830.43</v>
      </c>
      <c r="J8" s="18" t="b">
        <f>IF(tblFactFinance[[#This Row],[MonthStart]] &lt;= Inputs!$B$1, TRUE, FALSE)</f>
        <v>1</v>
      </c>
    </row>
    <row r="9" spans="1:10" x14ac:dyDescent="0.3">
      <c r="A9" s="15">
        <v>45658</v>
      </c>
      <c r="B9" s="17" t="s">
        <v>54</v>
      </c>
      <c r="C9" s="3" t="s">
        <v>1</v>
      </c>
      <c r="D9" s="3" t="str">
        <f>VLOOKUP(C9, Ref_Department!$A$2:$D$6, 2, FALSE)</f>
        <v>Branch Operations</v>
      </c>
      <c r="E9" s="3" t="s">
        <v>8</v>
      </c>
      <c r="F9" s="3" t="str">
        <f>VLOOKUP(E9, Ref_GLAccount!$A$2:$D$9, 2, FALSE)</f>
        <v>IT Software &amp; Subscriptions</v>
      </c>
      <c r="G9" s="3" t="str">
        <f>VLOOKUP(E9, Ref_GLAccount!$A$2:$D$9, 3, FALSE)</f>
        <v>IT</v>
      </c>
      <c r="H9" s="6" t="s">
        <v>70</v>
      </c>
      <c r="I9" s="7">
        <v>12480</v>
      </c>
      <c r="J9" s="18" t="b">
        <f>IF(tblFactFinance[[#This Row],[MonthStart]] &lt;= Inputs!$B$1, TRUE, FALSE)</f>
        <v>1</v>
      </c>
    </row>
    <row r="10" spans="1:10" x14ac:dyDescent="0.3">
      <c r="A10" s="15">
        <v>45658</v>
      </c>
      <c r="B10" s="17" t="s">
        <v>54</v>
      </c>
      <c r="C10" s="3" t="s">
        <v>1</v>
      </c>
      <c r="D10" s="3" t="str">
        <f>VLOOKUP(C10, Ref_Department!$A$2:$D$6, 2, FALSE)</f>
        <v>Branch Operations</v>
      </c>
      <c r="E10" s="3" t="s">
        <v>9</v>
      </c>
      <c r="F10" s="3" t="str">
        <f>VLOOKUP(E10, Ref_GLAccount!$A$2:$D$9, 2, FALSE)</f>
        <v>Marketing &amp; Advertising</v>
      </c>
      <c r="G10" s="3" t="str">
        <f>VLOOKUP(E10, Ref_GLAccount!$A$2:$D$9, 3, FALSE)</f>
        <v>Marketing</v>
      </c>
      <c r="H10" s="6" t="s">
        <v>66</v>
      </c>
      <c r="I10" s="7">
        <v>4138.7700000000004</v>
      </c>
      <c r="J10" s="18" t="b">
        <f>IF(tblFactFinance[[#This Row],[MonthStart]] &lt;= Inputs!$B$1, TRUE, FALSE)</f>
        <v>1</v>
      </c>
    </row>
    <row r="11" spans="1:10" x14ac:dyDescent="0.3">
      <c r="A11" s="15">
        <v>45658</v>
      </c>
      <c r="B11" s="17" t="s">
        <v>54</v>
      </c>
      <c r="C11" s="3" t="s">
        <v>1</v>
      </c>
      <c r="D11" s="3" t="str">
        <f>VLOOKUP(C11, Ref_Department!$A$2:$D$6, 2, FALSE)</f>
        <v>Branch Operations</v>
      </c>
      <c r="E11" s="3" t="s">
        <v>9</v>
      </c>
      <c r="F11" s="3" t="str">
        <f>VLOOKUP(E11, Ref_GLAccount!$A$2:$D$9, 2, FALSE)</f>
        <v>Marketing &amp; Advertising</v>
      </c>
      <c r="G11" s="3" t="str">
        <f>VLOOKUP(E11, Ref_GLAccount!$A$2:$D$9, 3, FALSE)</f>
        <v>Marketing</v>
      </c>
      <c r="H11" s="6" t="s">
        <v>70</v>
      </c>
      <c r="I11" s="7">
        <v>4160</v>
      </c>
      <c r="J11" s="18" t="b">
        <f>IF(tblFactFinance[[#This Row],[MonthStart]] &lt;= Inputs!$B$1, TRUE, FALSE)</f>
        <v>1</v>
      </c>
    </row>
    <row r="12" spans="1:10" x14ac:dyDescent="0.3">
      <c r="A12" s="15">
        <v>45658</v>
      </c>
      <c r="B12" s="17" t="s">
        <v>54</v>
      </c>
      <c r="C12" s="3" t="s">
        <v>1</v>
      </c>
      <c r="D12" s="3" t="str">
        <f>VLOOKUP(C12, Ref_Department!$A$2:$D$6, 2, FALSE)</f>
        <v>Branch Operations</v>
      </c>
      <c r="E12" s="3" t="s">
        <v>10</v>
      </c>
      <c r="F12" s="3" t="str">
        <f>VLOOKUP(E12, Ref_GLAccount!$A$2:$D$9, 2, FALSE)</f>
        <v>Professional Services</v>
      </c>
      <c r="G12" s="3" t="str">
        <f>VLOOKUP(E12, Ref_GLAccount!$A$2:$D$9, 3, FALSE)</f>
        <v>Professional Services</v>
      </c>
      <c r="H12" s="6" t="s">
        <v>66</v>
      </c>
      <c r="I12" s="7">
        <v>4888.55</v>
      </c>
      <c r="J12" s="18" t="b">
        <f>IF(tblFactFinance[[#This Row],[MonthStart]] &lt;= Inputs!$B$1, TRUE, FALSE)</f>
        <v>1</v>
      </c>
    </row>
    <row r="13" spans="1:10" x14ac:dyDescent="0.3">
      <c r="A13" s="15">
        <v>45658</v>
      </c>
      <c r="B13" s="17" t="s">
        <v>54</v>
      </c>
      <c r="C13" s="3" t="s">
        <v>1</v>
      </c>
      <c r="D13" s="3" t="str">
        <f>VLOOKUP(C13, Ref_Department!$A$2:$D$6, 2, FALSE)</f>
        <v>Branch Operations</v>
      </c>
      <c r="E13" s="3" t="s">
        <v>10</v>
      </c>
      <c r="F13" s="3" t="str">
        <f>VLOOKUP(E13, Ref_GLAccount!$A$2:$D$9, 2, FALSE)</f>
        <v>Professional Services</v>
      </c>
      <c r="G13" s="3" t="str">
        <f>VLOOKUP(E13, Ref_GLAccount!$A$2:$D$9, 3, FALSE)</f>
        <v>Professional Services</v>
      </c>
      <c r="H13" s="6" t="s">
        <v>70</v>
      </c>
      <c r="I13" s="7">
        <v>5200</v>
      </c>
      <c r="J13" s="18" t="b">
        <f>IF(tblFactFinance[[#This Row],[MonthStart]] &lt;= Inputs!$B$1, TRUE, FALSE)</f>
        <v>1</v>
      </c>
    </row>
    <row r="14" spans="1:10" x14ac:dyDescent="0.3">
      <c r="A14" s="15">
        <v>45658</v>
      </c>
      <c r="B14" s="17" t="s">
        <v>54</v>
      </c>
      <c r="C14" s="3" t="s">
        <v>1</v>
      </c>
      <c r="D14" s="3" t="str">
        <f>VLOOKUP(C14, Ref_Department!$A$2:$D$6, 2, FALSE)</f>
        <v>Branch Operations</v>
      </c>
      <c r="E14" s="3" t="s">
        <v>11</v>
      </c>
      <c r="F14" s="3" t="str">
        <f>VLOOKUP(E14, Ref_GLAccount!$A$2:$D$9, 2, FALSE)</f>
        <v>Office Supplies</v>
      </c>
      <c r="G14" s="3" t="str">
        <f>VLOOKUP(E14, Ref_GLAccount!$A$2:$D$9, 3, FALSE)</f>
        <v>Other OPEX</v>
      </c>
      <c r="H14" s="6" t="s">
        <v>66</v>
      </c>
      <c r="I14" s="7">
        <v>1580.74</v>
      </c>
      <c r="J14" s="18" t="b">
        <f>IF(tblFactFinance[[#This Row],[MonthStart]] &lt;= Inputs!$B$1, TRUE, FALSE)</f>
        <v>1</v>
      </c>
    </row>
    <row r="15" spans="1:10" x14ac:dyDescent="0.3">
      <c r="A15" s="15">
        <v>45658</v>
      </c>
      <c r="B15" s="17" t="s">
        <v>54</v>
      </c>
      <c r="C15" s="3" t="s">
        <v>1</v>
      </c>
      <c r="D15" s="3" t="str">
        <f>VLOOKUP(C15, Ref_Department!$A$2:$D$6, 2, FALSE)</f>
        <v>Branch Operations</v>
      </c>
      <c r="E15" s="3" t="s">
        <v>11</v>
      </c>
      <c r="F15" s="3" t="str">
        <f>VLOOKUP(E15, Ref_GLAccount!$A$2:$D$9, 2, FALSE)</f>
        <v>Office Supplies</v>
      </c>
      <c r="G15" s="3" t="str">
        <f>VLOOKUP(E15, Ref_GLAccount!$A$2:$D$9, 3, FALSE)</f>
        <v>Other OPEX</v>
      </c>
      <c r="H15" s="6" t="s">
        <v>70</v>
      </c>
      <c r="I15" s="7">
        <v>1560</v>
      </c>
      <c r="J15" s="18" t="b">
        <f>IF(tblFactFinance[[#This Row],[MonthStart]] &lt;= Inputs!$B$1, TRUE, FALSE)</f>
        <v>1</v>
      </c>
    </row>
    <row r="16" spans="1:10" x14ac:dyDescent="0.3">
      <c r="A16" s="15">
        <v>45658</v>
      </c>
      <c r="B16" s="17" t="s">
        <v>54</v>
      </c>
      <c r="C16" s="3" t="s">
        <v>1</v>
      </c>
      <c r="D16" s="3" t="str">
        <f>VLOOKUP(C16, Ref_Department!$A$2:$D$6, 2, FALSE)</f>
        <v>Branch Operations</v>
      </c>
      <c r="E16" s="3" t="s">
        <v>12</v>
      </c>
      <c r="F16" s="3" t="str">
        <f>VLOOKUP(E16, Ref_GLAccount!$A$2:$D$9, 2, FALSE)</f>
        <v>Training &amp; Development</v>
      </c>
      <c r="G16" s="3" t="str">
        <f>VLOOKUP(E16, Ref_GLAccount!$A$2:$D$9, 3, FALSE)</f>
        <v>Other OPEX</v>
      </c>
      <c r="H16" s="6" t="s">
        <v>66</v>
      </c>
      <c r="I16" s="7">
        <v>1234.6500000000001</v>
      </c>
      <c r="J16" s="18" t="b">
        <f>IF(tblFactFinance[[#This Row],[MonthStart]] &lt;= Inputs!$B$1, TRUE, FALSE)</f>
        <v>1</v>
      </c>
    </row>
    <row r="17" spans="1:10" x14ac:dyDescent="0.3">
      <c r="A17" s="15">
        <v>45658</v>
      </c>
      <c r="B17" s="17" t="s">
        <v>54</v>
      </c>
      <c r="C17" s="3" t="s">
        <v>1</v>
      </c>
      <c r="D17" s="3" t="str">
        <f>VLOOKUP(C17, Ref_Department!$A$2:$D$6, 2, FALSE)</f>
        <v>Branch Operations</v>
      </c>
      <c r="E17" s="3" t="s">
        <v>12</v>
      </c>
      <c r="F17" s="3" t="str">
        <f>VLOOKUP(E17, Ref_GLAccount!$A$2:$D$9, 2, FALSE)</f>
        <v>Training &amp; Development</v>
      </c>
      <c r="G17" s="3" t="str">
        <f>VLOOKUP(E17, Ref_GLAccount!$A$2:$D$9, 3, FALSE)</f>
        <v>Other OPEX</v>
      </c>
      <c r="H17" s="6" t="s">
        <v>70</v>
      </c>
      <c r="I17" s="7">
        <v>1248</v>
      </c>
      <c r="J17" s="18" t="b">
        <f>IF(tblFactFinance[[#This Row],[MonthStart]] &lt;= Inputs!$B$1, TRUE, FALSE)</f>
        <v>1</v>
      </c>
    </row>
    <row r="18" spans="1:10" x14ac:dyDescent="0.3">
      <c r="A18" s="15">
        <v>45658</v>
      </c>
      <c r="B18" s="17" t="s">
        <v>54</v>
      </c>
      <c r="C18" s="3" t="s">
        <v>2</v>
      </c>
      <c r="D18" s="3" t="str">
        <f>VLOOKUP(C18, Ref_Department!$A$2:$D$6, 2, FALSE)</f>
        <v>Lending</v>
      </c>
      <c r="E18" s="3" t="s">
        <v>33</v>
      </c>
      <c r="F18" s="3" t="str">
        <f>VLOOKUP(E18, Ref_GLAccount!$A$2:$D$9, 2, FALSE)</f>
        <v>Salaries</v>
      </c>
      <c r="G18" s="3" t="str">
        <f>VLOOKUP(E18, Ref_GLAccount!$A$2:$D$9, 3, FALSE)</f>
        <v>Personnel</v>
      </c>
      <c r="H18" s="6" t="s">
        <v>66</v>
      </c>
      <c r="I18" s="7">
        <v>171538.3</v>
      </c>
      <c r="J18" s="18" t="b">
        <f>IF(tblFactFinance[[#This Row],[MonthStart]] &lt;= Inputs!$B$1, TRUE, FALSE)</f>
        <v>1</v>
      </c>
    </row>
    <row r="19" spans="1:10" x14ac:dyDescent="0.3">
      <c r="A19" s="15">
        <v>45658</v>
      </c>
      <c r="B19" s="17" t="s">
        <v>54</v>
      </c>
      <c r="C19" s="3" t="s">
        <v>2</v>
      </c>
      <c r="D19" s="3" t="str">
        <f>VLOOKUP(C19, Ref_Department!$A$2:$D$6, 2, FALSE)</f>
        <v>Lending</v>
      </c>
      <c r="E19" s="3" t="s">
        <v>33</v>
      </c>
      <c r="F19" s="3" t="str">
        <f>VLOOKUP(E19, Ref_GLAccount!$A$2:$D$9, 2, FALSE)</f>
        <v>Salaries</v>
      </c>
      <c r="G19" s="3" t="str">
        <f>VLOOKUP(E19, Ref_GLAccount!$A$2:$D$9, 3, FALSE)</f>
        <v>Personnel</v>
      </c>
      <c r="H19" s="6" t="s">
        <v>70</v>
      </c>
      <c r="I19" s="7">
        <v>173040</v>
      </c>
      <c r="J19" s="18" t="b">
        <f>IF(tblFactFinance[[#This Row],[MonthStart]] &lt;= Inputs!$B$1, TRUE, FALSE)</f>
        <v>1</v>
      </c>
    </row>
    <row r="20" spans="1:10" x14ac:dyDescent="0.3">
      <c r="A20" s="15">
        <v>45658</v>
      </c>
      <c r="B20" s="17" t="s">
        <v>54</v>
      </c>
      <c r="C20" s="3" t="s">
        <v>2</v>
      </c>
      <c r="D20" s="3" t="str">
        <f>VLOOKUP(C20, Ref_Department!$A$2:$D$6, 2, FALSE)</f>
        <v>Lending</v>
      </c>
      <c r="E20" s="3" t="s">
        <v>37</v>
      </c>
      <c r="F20" s="3" t="str">
        <f>VLOOKUP(E20, Ref_GLAccount!$A$2:$D$9, 2, FALSE)</f>
        <v>Benefits</v>
      </c>
      <c r="G20" s="3" t="str">
        <f>VLOOKUP(E20, Ref_GLAccount!$A$2:$D$9, 3, FALSE)</f>
        <v>Personnel</v>
      </c>
      <c r="H20" s="6" t="s">
        <v>66</v>
      </c>
      <c r="I20" s="7">
        <v>38245.26</v>
      </c>
      <c r="J20" s="18" t="b">
        <f>IF(tblFactFinance[[#This Row],[MonthStart]] &lt;= Inputs!$B$1, TRUE, FALSE)</f>
        <v>1</v>
      </c>
    </row>
    <row r="21" spans="1:10" x14ac:dyDescent="0.3">
      <c r="A21" s="15">
        <v>45658</v>
      </c>
      <c r="B21" s="17" t="s">
        <v>54</v>
      </c>
      <c r="C21" s="3" t="s">
        <v>2</v>
      </c>
      <c r="D21" s="3" t="str">
        <f>VLOOKUP(C21, Ref_Department!$A$2:$D$6, 2, FALSE)</f>
        <v>Lending</v>
      </c>
      <c r="E21" s="3" t="s">
        <v>37</v>
      </c>
      <c r="F21" s="3" t="str">
        <f>VLOOKUP(E21, Ref_GLAccount!$A$2:$D$9, 2, FALSE)</f>
        <v>Benefits</v>
      </c>
      <c r="G21" s="3" t="str">
        <f>VLOOKUP(E21, Ref_GLAccount!$A$2:$D$9, 3, FALSE)</f>
        <v>Personnel</v>
      </c>
      <c r="H21" s="6" t="s">
        <v>70</v>
      </c>
      <c r="I21" s="7">
        <v>38068.800000000003</v>
      </c>
      <c r="J21" s="18" t="b">
        <f>IF(tblFactFinance[[#This Row],[MonthStart]] &lt;= Inputs!$B$1, TRUE, FALSE)</f>
        <v>1</v>
      </c>
    </row>
    <row r="22" spans="1:10" x14ac:dyDescent="0.3">
      <c r="A22" s="15">
        <v>45658</v>
      </c>
      <c r="B22" s="17" t="s">
        <v>54</v>
      </c>
      <c r="C22" s="3" t="s">
        <v>2</v>
      </c>
      <c r="D22" s="3" t="str">
        <f>VLOOKUP(C22, Ref_Department!$A$2:$D$6, 2, FALSE)</f>
        <v>Lending</v>
      </c>
      <c r="E22" s="3" t="s">
        <v>7</v>
      </c>
      <c r="F22" s="3" t="str">
        <f>VLOOKUP(E22, Ref_GLAccount!$A$2:$D$9, 2, FALSE)</f>
        <v>Occupancy &amp; Facilities</v>
      </c>
      <c r="G22" s="3" t="str">
        <f>VLOOKUP(E22, Ref_GLAccount!$A$2:$D$9, 3, FALSE)</f>
        <v>Facilities</v>
      </c>
      <c r="H22" s="6" t="s">
        <v>66</v>
      </c>
      <c r="I22" s="7">
        <v>17117.59</v>
      </c>
      <c r="J22" s="18" t="b">
        <f>IF(tblFactFinance[[#This Row],[MonthStart]] &lt;= Inputs!$B$1, TRUE, FALSE)</f>
        <v>1</v>
      </c>
    </row>
    <row r="23" spans="1:10" x14ac:dyDescent="0.3">
      <c r="A23" s="15">
        <v>45658</v>
      </c>
      <c r="B23" s="17" t="s">
        <v>54</v>
      </c>
      <c r="C23" s="3" t="s">
        <v>2</v>
      </c>
      <c r="D23" s="3" t="str">
        <f>VLOOKUP(C23, Ref_Department!$A$2:$D$6, 2, FALSE)</f>
        <v>Lending</v>
      </c>
      <c r="E23" s="3" t="s">
        <v>7</v>
      </c>
      <c r="F23" s="3" t="str">
        <f>VLOOKUP(E23, Ref_GLAccount!$A$2:$D$9, 2, FALSE)</f>
        <v>Occupancy &amp; Facilities</v>
      </c>
      <c r="G23" s="3" t="str">
        <f>VLOOKUP(E23, Ref_GLAccount!$A$2:$D$9, 3, FALSE)</f>
        <v>Facilities</v>
      </c>
      <c r="H23" s="6" t="s">
        <v>70</v>
      </c>
      <c r="I23" s="7">
        <v>16000</v>
      </c>
      <c r="J23" s="18" t="b">
        <f>IF(tblFactFinance[[#This Row],[MonthStart]] &lt;= Inputs!$B$1, TRUE, FALSE)</f>
        <v>1</v>
      </c>
    </row>
    <row r="24" spans="1:10" x14ac:dyDescent="0.3">
      <c r="A24" s="15">
        <v>45658</v>
      </c>
      <c r="B24" s="17" t="s">
        <v>54</v>
      </c>
      <c r="C24" s="3" t="s">
        <v>2</v>
      </c>
      <c r="D24" s="3" t="str">
        <f>VLOOKUP(C24, Ref_Department!$A$2:$D$6, 2, FALSE)</f>
        <v>Lending</v>
      </c>
      <c r="E24" s="3" t="s">
        <v>8</v>
      </c>
      <c r="F24" s="3" t="str">
        <f>VLOOKUP(E24, Ref_GLAccount!$A$2:$D$9, 2, FALSE)</f>
        <v>IT Software &amp; Subscriptions</v>
      </c>
      <c r="G24" s="3" t="str">
        <f>VLOOKUP(E24, Ref_GLAccount!$A$2:$D$9, 3, FALSE)</f>
        <v>IT</v>
      </c>
      <c r="H24" s="6" t="s">
        <v>66</v>
      </c>
      <c r="I24" s="7">
        <v>9795.64</v>
      </c>
      <c r="J24" s="18" t="b">
        <f>IF(tblFactFinance[[#This Row],[MonthStart]] &lt;= Inputs!$B$1, TRUE, FALSE)</f>
        <v>1</v>
      </c>
    </row>
    <row r="25" spans="1:10" x14ac:dyDescent="0.3">
      <c r="A25" s="15">
        <v>45658</v>
      </c>
      <c r="B25" s="17" t="s">
        <v>54</v>
      </c>
      <c r="C25" s="3" t="s">
        <v>2</v>
      </c>
      <c r="D25" s="3" t="str">
        <f>VLOOKUP(C25, Ref_Department!$A$2:$D$6, 2, FALSE)</f>
        <v>Lending</v>
      </c>
      <c r="E25" s="3" t="s">
        <v>8</v>
      </c>
      <c r="F25" s="3" t="str">
        <f>VLOOKUP(E25, Ref_GLAccount!$A$2:$D$9, 2, FALSE)</f>
        <v>IT Software &amp; Subscriptions</v>
      </c>
      <c r="G25" s="3" t="str">
        <f>VLOOKUP(E25, Ref_GLAccount!$A$2:$D$9, 3, FALSE)</f>
        <v>IT</v>
      </c>
      <c r="H25" s="6" t="s">
        <v>70</v>
      </c>
      <c r="I25" s="7">
        <v>9360</v>
      </c>
      <c r="J25" s="18" t="b">
        <f>IF(tblFactFinance[[#This Row],[MonthStart]] &lt;= Inputs!$B$1, TRUE, FALSE)</f>
        <v>1</v>
      </c>
    </row>
    <row r="26" spans="1:10" x14ac:dyDescent="0.3">
      <c r="A26" s="15">
        <v>45658</v>
      </c>
      <c r="B26" s="17" t="s">
        <v>54</v>
      </c>
      <c r="C26" s="3" t="s">
        <v>2</v>
      </c>
      <c r="D26" s="3" t="str">
        <f>VLOOKUP(C26, Ref_Department!$A$2:$D$6, 2, FALSE)</f>
        <v>Lending</v>
      </c>
      <c r="E26" s="3" t="s">
        <v>9</v>
      </c>
      <c r="F26" s="3" t="str">
        <f>VLOOKUP(E26, Ref_GLAccount!$A$2:$D$9, 2, FALSE)</f>
        <v>Marketing &amp; Advertising</v>
      </c>
      <c r="G26" s="3" t="str">
        <f>VLOOKUP(E26, Ref_GLAccount!$A$2:$D$9, 3, FALSE)</f>
        <v>Marketing</v>
      </c>
      <c r="H26" s="6" t="s">
        <v>66</v>
      </c>
      <c r="I26" s="7">
        <v>6403.9</v>
      </c>
      <c r="J26" s="18" t="b">
        <f>IF(tblFactFinance[[#This Row],[MonthStart]] &lt;= Inputs!$B$1, TRUE, FALSE)</f>
        <v>1</v>
      </c>
    </row>
    <row r="27" spans="1:10" x14ac:dyDescent="0.3">
      <c r="A27" s="15">
        <v>45658</v>
      </c>
      <c r="B27" s="17" t="s">
        <v>54</v>
      </c>
      <c r="C27" s="3" t="s">
        <v>2</v>
      </c>
      <c r="D27" s="3" t="str">
        <f>VLOOKUP(C27, Ref_Department!$A$2:$D$6, 2, FALSE)</f>
        <v>Lending</v>
      </c>
      <c r="E27" s="3" t="s">
        <v>9</v>
      </c>
      <c r="F27" s="3" t="str">
        <f>VLOOKUP(E27, Ref_GLAccount!$A$2:$D$9, 2, FALSE)</f>
        <v>Marketing &amp; Advertising</v>
      </c>
      <c r="G27" s="3" t="str">
        <f>VLOOKUP(E27, Ref_GLAccount!$A$2:$D$9, 3, FALSE)</f>
        <v>Marketing</v>
      </c>
      <c r="H27" s="6" t="s">
        <v>70</v>
      </c>
      <c r="I27" s="7">
        <v>6240</v>
      </c>
      <c r="J27" s="18" t="b">
        <f>IF(tblFactFinance[[#This Row],[MonthStart]] &lt;= Inputs!$B$1, TRUE, FALSE)</f>
        <v>1</v>
      </c>
    </row>
    <row r="28" spans="1:10" x14ac:dyDescent="0.3">
      <c r="A28" s="15">
        <v>45658</v>
      </c>
      <c r="B28" s="17" t="s">
        <v>54</v>
      </c>
      <c r="C28" s="3" t="s">
        <v>2</v>
      </c>
      <c r="D28" s="3" t="str">
        <f>VLOOKUP(C28, Ref_Department!$A$2:$D$6, 2, FALSE)</f>
        <v>Lending</v>
      </c>
      <c r="E28" s="3" t="s">
        <v>10</v>
      </c>
      <c r="F28" s="3" t="str">
        <f>VLOOKUP(E28, Ref_GLAccount!$A$2:$D$9, 2, FALSE)</f>
        <v>Professional Services</v>
      </c>
      <c r="G28" s="3" t="str">
        <f>VLOOKUP(E28, Ref_GLAccount!$A$2:$D$9, 3, FALSE)</f>
        <v>Professional Services</v>
      </c>
      <c r="H28" s="6" t="s">
        <v>66</v>
      </c>
      <c r="I28" s="7">
        <v>8356.7800000000007</v>
      </c>
      <c r="J28" s="18" t="b">
        <f>IF(tblFactFinance[[#This Row],[MonthStart]] &lt;= Inputs!$B$1, TRUE, FALSE)</f>
        <v>1</v>
      </c>
    </row>
    <row r="29" spans="1:10" x14ac:dyDescent="0.3">
      <c r="A29" s="15">
        <v>45658</v>
      </c>
      <c r="B29" s="17" t="s">
        <v>54</v>
      </c>
      <c r="C29" s="3" t="s">
        <v>2</v>
      </c>
      <c r="D29" s="3" t="str">
        <f>VLOOKUP(C29, Ref_Department!$A$2:$D$6, 2, FALSE)</f>
        <v>Lending</v>
      </c>
      <c r="E29" s="3" t="s">
        <v>10</v>
      </c>
      <c r="F29" s="3" t="str">
        <f>VLOOKUP(E29, Ref_GLAccount!$A$2:$D$9, 2, FALSE)</f>
        <v>Professional Services</v>
      </c>
      <c r="G29" s="3" t="str">
        <f>VLOOKUP(E29, Ref_GLAccount!$A$2:$D$9, 3, FALSE)</f>
        <v>Professional Services</v>
      </c>
      <c r="H29" s="6" t="s">
        <v>70</v>
      </c>
      <c r="I29" s="7">
        <v>8320</v>
      </c>
      <c r="J29" s="18" t="b">
        <f>IF(tblFactFinance[[#This Row],[MonthStart]] &lt;= Inputs!$B$1, TRUE, FALSE)</f>
        <v>1</v>
      </c>
    </row>
    <row r="30" spans="1:10" x14ac:dyDescent="0.3">
      <c r="A30" s="15">
        <v>45658</v>
      </c>
      <c r="B30" s="17" t="s">
        <v>54</v>
      </c>
      <c r="C30" s="3" t="s">
        <v>2</v>
      </c>
      <c r="D30" s="3" t="str">
        <f>VLOOKUP(C30, Ref_Department!$A$2:$D$6, 2, FALSE)</f>
        <v>Lending</v>
      </c>
      <c r="E30" s="3" t="s">
        <v>11</v>
      </c>
      <c r="F30" s="3" t="str">
        <f>VLOOKUP(E30, Ref_GLAccount!$A$2:$D$9, 2, FALSE)</f>
        <v>Office Supplies</v>
      </c>
      <c r="G30" s="3" t="str">
        <f>VLOOKUP(E30, Ref_GLAccount!$A$2:$D$9, 3, FALSE)</f>
        <v>Other OPEX</v>
      </c>
      <c r="H30" s="6" t="s">
        <v>66</v>
      </c>
      <c r="I30" s="7">
        <v>908.36</v>
      </c>
      <c r="J30" s="18" t="b">
        <f>IF(tblFactFinance[[#This Row],[MonthStart]] &lt;= Inputs!$B$1, TRUE, FALSE)</f>
        <v>1</v>
      </c>
    </row>
    <row r="31" spans="1:10" x14ac:dyDescent="0.3">
      <c r="A31" s="15">
        <v>45658</v>
      </c>
      <c r="B31" s="17" t="s">
        <v>54</v>
      </c>
      <c r="C31" s="3" t="s">
        <v>2</v>
      </c>
      <c r="D31" s="3" t="str">
        <f>VLOOKUP(C31, Ref_Department!$A$2:$D$6, 2, FALSE)</f>
        <v>Lending</v>
      </c>
      <c r="E31" s="3" t="s">
        <v>11</v>
      </c>
      <c r="F31" s="3" t="str">
        <f>VLOOKUP(E31, Ref_GLAccount!$A$2:$D$9, 2, FALSE)</f>
        <v>Office Supplies</v>
      </c>
      <c r="G31" s="3" t="str">
        <f>VLOOKUP(E31, Ref_GLAccount!$A$2:$D$9, 3, FALSE)</f>
        <v>Other OPEX</v>
      </c>
      <c r="H31" s="6" t="s">
        <v>70</v>
      </c>
      <c r="I31" s="7">
        <v>936</v>
      </c>
      <c r="J31" s="18" t="b">
        <f>IF(tblFactFinance[[#This Row],[MonthStart]] &lt;= Inputs!$B$1, TRUE, FALSE)</f>
        <v>1</v>
      </c>
    </row>
    <row r="32" spans="1:10" x14ac:dyDescent="0.3">
      <c r="A32" s="15">
        <v>45658</v>
      </c>
      <c r="B32" s="17" t="s">
        <v>54</v>
      </c>
      <c r="C32" s="3" t="s">
        <v>2</v>
      </c>
      <c r="D32" s="3" t="str">
        <f>VLOOKUP(C32, Ref_Department!$A$2:$D$6, 2, FALSE)</f>
        <v>Lending</v>
      </c>
      <c r="E32" s="3" t="s">
        <v>12</v>
      </c>
      <c r="F32" s="3" t="str">
        <f>VLOOKUP(E32, Ref_GLAccount!$A$2:$D$9, 2, FALSE)</f>
        <v>Training &amp; Development</v>
      </c>
      <c r="G32" s="3" t="str">
        <f>VLOOKUP(E32, Ref_GLAccount!$A$2:$D$9, 3, FALSE)</f>
        <v>Other OPEX</v>
      </c>
      <c r="H32" s="6" t="s">
        <v>66</v>
      </c>
      <c r="I32" s="7">
        <v>1396.91</v>
      </c>
      <c r="J32" s="18" t="b">
        <f>IF(tblFactFinance[[#This Row],[MonthStart]] &lt;= Inputs!$B$1, TRUE, FALSE)</f>
        <v>1</v>
      </c>
    </row>
    <row r="33" spans="1:10" x14ac:dyDescent="0.3">
      <c r="A33" s="15">
        <v>45658</v>
      </c>
      <c r="B33" s="17" t="s">
        <v>54</v>
      </c>
      <c r="C33" s="3" t="s">
        <v>2</v>
      </c>
      <c r="D33" s="3" t="str">
        <f>VLOOKUP(C33, Ref_Department!$A$2:$D$6, 2, FALSE)</f>
        <v>Lending</v>
      </c>
      <c r="E33" s="3" t="s">
        <v>12</v>
      </c>
      <c r="F33" s="3" t="str">
        <f>VLOOKUP(E33, Ref_GLAccount!$A$2:$D$9, 2, FALSE)</f>
        <v>Training &amp; Development</v>
      </c>
      <c r="G33" s="3" t="str">
        <f>VLOOKUP(E33, Ref_GLAccount!$A$2:$D$9, 3, FALSE)</f>
        <v>Other OPEX</v>
      </c>
      <c r="H33" s="6" t="s">
        <v>70</v>
      </c>
      <c r="I33" s="7">
        <v>1456</v>
      </c>
      <c r="J33" s="18" t="b">
        <f>IF(tblFactFinance[[#This Row],[MonthStart]] &lt;= Inputs!$B$1, TRUE, FALSE)</f>
        <v>1</v>
      </c>
    </row>
    <row r="34" spans="1:10" x14ac:dyDescent="0.3">
      <c r="A34" s="15">
        <v>45658</v>
      </c>
      <c r="B34" s="17" t="s">
        <v>54</v>
      </c>
      <c r="C34" s="3" t="s">
        <v>3</v>
      </c>
      <c r="D34" s="3" t="str">
        <f>VLOOKUP(C34, Ref_Department!$A$2:$D$6, 2, FALSE)</f>
        <v>Information Technology</v>
      </c>
      <c r="E34" s="3" t="s">
        <v>33</v>
      </c>
      <c r="F34" s="3" t="str">
        <f>VLOOKUP(E34, Ref_GLAccount!$A$2:$D$9, 2, FALSE)</f>
        <v>Salaries</v>
      </c>
      <c r="G34" s="3" t="str">
        <f>VLOOKUP(E34, Ref_GLAccount!$A$2:$D$9, 3, FALSE)</f>
        <v>Personnel</v>
      </c>
      <c r="H34" s="6" t="s">
        <v>66</v>
      </c>
      <c r="I34" s="7">
        <v>152901.95000000001</v>
      </c>
      <c r="J34" s="18" t="b">
        <f>IF(tblFactFinance[[#This Row],[MonthStart]] &lt;= Inputs!$B$1, TRUE, FALSE)</f>
        <v>1</v>
      </c>
    </row>
    <row r="35" spans="1:10" x14ac:dyDescent="0.3">
      <c r="A35" s="15">
        <v>45658</v>
      </c>
      <c r="B35" s="17" t="s">
        <v>54</v>
      </c>
      <c r="C35" s="3" t="s">
        <v>3</v>
      </c>
      <c r="D35" s="3" t="str">
        <f>VLOOKUP(C35, Ref_Department!$A$2:$D$6, 2, FALSE)</f>
        <v>Information Technology</v>
      </c>
      <c r="E35" s="3" t="s">
        <v>33</v>
      </c>
      <c r="F35" s="3" t="str">
        <f>VLOOKUP(E35, Ref_GLAccount!$A$2:$D$9, 2, FALSE)</f>
        <v>Salaries</v>
      </c>
      <c r="G35" s="3" t="str">
        <f>VLOOKUP(E35, Ref_GLAccount!$A$2:$D$9, 3, FALSE)</f>
        <v>Personnel</v>
      </c>
      <c r="H35" s="6" t="s">
        <v>70</v>
      </c>
      <c r="I35" s="7">
        <v>151410</v>
      </c>
      <c r="J35" s="18" t="b">
        <f>IF(tblFactFinance[[#This Row],[MonthStart]] &lt;= Inputs!$B$1, TRUE, FALSE)</f>
        <v>1</v>
      </c>
    </row>
    <row r="36" spans="1:10" x14ac:dyDescent="0.3">
      <c r="A36" s="15">
        <v>45658</v>
      </c>
      <c r="B36" s="17" t="s">
        <v>54</v>
      </c>
      <c r="C36" s="3" t="s">
        <v>3</v>
      </c>
      <c r="D36" s="3" t="str">
        <f>VLOOKUP(C36, Ref_Department!$A$2:$D$6, 2, FALSE)</f>
        <v>Information Technology</v>
      </c>
      <c r="E36" s="3" t="s">
        <v>37</v>
      </c>
      <c r="F36" s="3" t="str">
        <f>VLOOKUP(E36, Ref_GLAccount!$A$2:$D$9, 2, FALSE)</f>
        <v>Benefits</v>
      </c>
      <c r="G36" s="3" t="str">
        <f>VLOOKUP(E36, Ref_GLAccount!$A$2:$D$9, 3, FALSE)</f>
        <v>Personnel</v>
      </c>
      <c r="H36" s="6" t="s">
        <v>66</v>
      </c>
      <c r="I36" s="7">
        <v>35057.089999999997</v>
      </c>
      <c r="J36" s="18" t="b">
        <f>IF(tblFactFinance[[#This Row],[MonthStart]] &lt;= Inputs!$B$1, TRUE, FALSE)</f>
        <v>1</v>
      </c>
    </row>
    <row r="37" spans="1:10" x14ac:dyDescent="0.3">
      <c r="A37" s="15">
        <v>45658</v>
      </c>
      <c r="B37" s="17" t="s">
        <v>54</v>
      </c>
      <c r="C37" s="3" t="s">
        <v>3</v>
      </c>
      <c r="D37" s="3" t="str">
        <f>VLOOKUP(C37, Ref_Department!$A$2:$D$6, 2, FALSE)</f>
        <v>Information Technology</v>
      </c>
      <c r="E37" s="3" t="s">
        <v>37</v>
      </c>
      <c r="F37" s="3" t="str">
        <f>VLOOKUP(E37, Ref_GLAccount!$A$2:$D$9, 2, FALSE)</f>
        <v>Benefits</v>
      </c>
      <c r="G37" s="3" t="str">
        <f>VLOOKUP(E37, Ref_GLAccount!$A$2:$D$9, 3, FALSE)</f>
        <v>Personnel</v>
      </c>
      <c r="H37" s="6" t="s">
        <v>70</v>
      </c>
      <c r="I37" s="7">
        <v>33310.199999999997</v>
      </c>
      <c r="J37" s="18" t="b">
        <f>IF(tblFactFinance[[#This Row],[MonthStart]] &lt;= Inputs!$B$1, TRUE, FALSE)</f>
        <v>1</v>
      </c>
    </row>
    <row r="38" spans="1:10" x14ac:dyDescent="0.3">
      <c r="A38" s="15">
        <v>45658</v>
      </c>
      <c r="B38" s="17" t="s">
        <v>54</v>
      </c>
      <c r="C38" s="3" t="s">
        <v>3</v>
      </c>
      <c r="D38" s="3" t="str">
        <f>VLOOKUP(C38, Ref_Department!$A$2:$D$6, 2, FALSE)</f>
        <v>Information Technology</v>
      </c>
      <c r="E38" s="3" t="s">
        <v>7</v>
      </c>
      <c r="F38" s="3" t="str">
        <f>VLOOKUP(E38, Ref_GLAccount!$A$2:$D$9, 2, FALSE)</f>
        <v>Occupancy &amp; Facilities</v>
      </c>
      <c r="G38" s="3" t="str">
        <f>VLOOKUP(E38, Ref_GLAccount!$A$2:$D$9, 3, FALSE)</f>
        <v>Facilities</v>
      </c>
      <c r="H38" s="6" t="s">
        <v>66</v>
      </c>
      <c r="I38" s="7">
        <v>9555.9</v>
      </c>
      <c r="J38" s="18" t="b">
        <f>IF(tblFactFinance[[#This Row],[MonthStart]] &lt;= Inputs!$B$1, TRUE, FALSE)</f>
        <v>1</v>
      </c>
    </row>
    <row r="39" spans="1:10" x14ac:dyDescent="0.3">
      <c r="A39" s="15">
        <v>45658</v>
      </c>
      <c r="B39" s="17" t="s">
        <v>54</v>
      </c>
      <c r="C39" s="3" t="s">
        <v>3</v>
      </c>
      <c r="D39" s="3" t="str">
        <f>VLOOKUP(C39, Ref_Department!$A$2:$D$6, 2, FALSE)</f>
        <v>Information Technology</v>
      </c>
      <c r="E39" s="3" t="s">
        <v>7</v>
      </c>
      <c r="F39" s="3" t="str">
        <f>VLOOKUP(E39, Ref_GLAccount!$A$2:$D$9, 2, FALSE)</f>
        <v>Occupancy &amp; Facilities</v>
      </c>
      <c r="G39" s="3" t="str">
        <f>VLOOKUP(E39, Ref_GLAccount!$A$2:$D$9, 3, FALSE)</f>
        <v>Facilities</v>
      </c>
      <c r="H39" s="6" t="s">
        <v>70</v>
      </c>
      <c r="I39" s="7">
        <v>9000</v>
      </c>
      <c r="J39" s="18" t="b">
        <f>IF(tblFactFinance[[#This Row],[MonthStart]] &lt;= Inputs!$B$1, TRUE, FALSE)</f>
        <v>1</v>
      </c>
    </row>
    <row r="40" spans="1:10" x14ac:dyDescent="0.3">
      <c r="A40" s="15">
        <v>45658</v>
      </c>
      <c r="B40" s="17" t="s">
        <v>54</v>
      </c>
      <c r="C40" s="3" t="s">
        <v>3</v>
      </c>
      <c r="D40" s="3" t="str">
        <f>VLOOKUP(C40, Ref_Department!$A$2:$D$6, 2, FALSE)</f>
        <v>Information Technology</v>
      </c>
      <c r="E40" s="3" t="s">
        <v>8</v>
      </c>
      <c r="F40" s="3" t="str">
        <f>VLOOKUP(E40, Ref_GLAccount!$A$2:$D$9, 2, FALSE)</f>
        <v>IT Software &amp; Subscriptions</v>
      </c>
      <c r="G40" s="3" t="str">
        <f>VLOOKUP(E40, Ref_GLAccount!$A$2:$D$9, 3, FALSE)</f>
        <v>IT</v>
      </c>
      <c r="H40" s="6" t="s">
        <v>66</v>
      </c>
      <c r="I40" s="7">
        <v>43494.23</v>
      </c>
      <c r="J40" s="18" t="b">
        <f>IF(tblFactFinance[[#This Row],[MonthStart]] &lt;= Inputs!$B$1, TRUE, FALSE)</f>
        <v>1</v>
      </c>
    </row>
    <row r="41" spans="1:10" x14ac:dyDescent="0.3">
      <c r="A41" s="15">
        <v>45658</v>
      </c>
      <c r="B41" s="17" t="s">
        <v>54</v>
      </c>
      <c r="C41" s="3" t="s">
        <v>3</v>
      </c>
      <c r="D41" s="3" t="str">
        <f>VLOOKUP(C41, Ref_Department!$A$2:$D$6, 2, FALSE)</f>
        <v>Information Technology</v>
      </c>
      <c r="E41" s="3" t="s">
        <v>8</v>
      </c>
      <c r="F41" s="3" t="str">
        <f>VLOOKUP(E41, Ref_GLAccount!$A$2:$D$9, 2, FALSE)</f>
        <v>IT Software &amp; Subscriptions</v>
      </c>
      <c r="G41" s="3" t="str">
        <f>VLOOKUP(E41, Ref_GLAccount!$A$2:$D$9, 3, FALSE)</f>
        <v>IT</v>
      </c>
      <c r="H41" s="6" t="s">
        <v>70</v>
      </c>
      <c r="I41" s="7">
        <v>43680</v>
      </c>
      <c r="J41" s="18" t="b">
        <f>IF(tblFactFinance[[#This Row],[MonthStart]] &lt;= Inputs!$B$1, TRUE, FALSE)</f>
        <v>1</v>
      </c>
    </row>
    <row r="42" spans="1:10" x14ac:dyDescent="0.3">
      <c r="A42" s="15">
        <v>45658</v>
      </c>
      <c r="B42" s="17" t="s">
        <v>54</v>
      </c>
      <c r="C42" s="3" t="s">
        <v>3</v>
      </c>
      <c r="D42" s="3" t="str">
        <f>VLOOKUP(C42, Ref_Department!$A$2:$D$6, 2, FALSE)</f>
        <v>Information Technology</v>
      </c>
      <c r="E42" s="3" t="s">
        <v>9</v>
      </c>
      <c r="F42" s="3" t="str">
        <f>VLOOKUP(E42, Ref_GLAccount!$A$2:$D$9, 2, FALSE)</f>
        <v>Marketing &amp; Advertising</v>
      </c>
      <c r="G42" s="3" t="str">
        <f>VLOOKUP(E42, Ref_GLAccount!$A$2:$D$9, 3, FALSE)</f>
        <v>Marketing</v>
      </c>
      <c r="H42" s="6" t="s">
        <v>66</v>
      </c>
      <c r="I42" s="7">
        <v>1593.18</v>
      </c>
      <c r="J42" s="18" t="b">
        <f>IF(tblFactFinance[[#This Row],[MonthStart]] &lt;= Inputs!$B$1, TRUE, FALSE)</f>
        <v>1</v>
      </c>
    </row>
    <row r="43" spans="1:10" x14ac:dyDescent="0.3">
      <c r="A43" s="15">
        <v>45658</v>
      </c>
      <c r="B43" s="17" t="s">
        <v>54</v>
      </c>
      <c r="C43" s="3" t="s">
        <v>3</v>
      </c>
      <c r="D43" s="3" t="str">
        <f>VLOOKUP(C43, Ref_Department!$A$2:$D$6, 2, FALSE)</f>
        <v>Information Technology</v>
      </c>
      <c r="E43" s="3" t="s">
        <v>9</v>
      </c>
      <c r="F43" s="3" t="str">
        <f>VLOOKUP(E43, Ref_GLAccount!$A$2:$D$9, 2, FALSE)</f>
        <v>Marketing &amp; Advertising</v>
      </c>
      <c r="G43" s="3" t="str">
        <f>VLOOKUP(E43, Ref_GLAccount!$A$2:$D$9, 3, FALSE)</f>
        <v>Marketing</v>
      </c>
      <c r="H43" s="6" t="s">
        <v>70</v>
      </c>
      <c r="I43" s="7">
        <v>1560</v>
      </c>
      <c r="J43" s="18" t="b">
        <f>IF(tblFactFinance[[#This Row],[MonthStart]] &lt;= Inputs!$B$1, TRUE, FALSE)</f>
        <v>1</v>
      </c>
    </row>
    <row r="44" spans="1:10" x14ac:dyDescent="0.3">
      <c r="A44" s="15">
        <v>45658</v>
      </c>
      <c r="B44" s="17" t="s">
        <v>54</v>
      </c>
      <c r="C44" s="3" t="s">
        <v>3</v>
      </c>
      <c r="D44" s="3" t="str">
        <f>VLOOKUP(C44, Ref_Department!$A$2:$D$6, 2, FALSE)</f>
        <v>Information Technology</v>
      </c>
      <c r="E44" s="3" t="s">
        <v>10</v>
      </c>
      <c r="F44" s="3" t="str">
        <f>VLOOKUP(E44, Ref_GLAccount!$A$2:$D$9, 2, FALSE)</f>
        <v>Professional Services</v>
      </c>
      <c r="G44" s="3" t="str">
        <f>VLOOKUP(E44, Ref_GLAccount!$A$2:$D$9, 3, FALSE)</f>
        <v>Professional Services</v>
      </c>
      <c r="H44" s="6" t="s">
        <v>66</v>
      </c>
      <c r="I44" s="7">
        <v>11754.39</v>
      </c>
      <c r="J44" s="18" t="b">
        <f>IF(tblFactFinance[[#This Row],[MonthStart]] &lt;= Inputs!$B$1, TRUE, FALSE)</f>
        <v>1</v>
      </c>
    </row>
    <row r="45" spans="1:10" x14ac:dyDescent="0.3">
      <c r="A45" s="15">
        <v>45658</v>
      </c>
      <c r="B45" s="17" t="s">
        <v>54</v>
      </c>
      <c r="C45" s="3" t="s">
        <v>3</v>
      </c>
      <c r="D45" s="3" t="str">
        <f>VLOOKUP(C45, Ref_Department!$A$2:$D$6, 2, FALSE)</f>
        <v>Information Technology</v>
      </c>
      <c r="E45" s="3" t="s">
        <v>10</v>
      </c>
      <c r="F45" s="3" t="str">
        <f>VLOOKUP(E45, Ref_GLAccount!$A$2:$D$9, 2, FALSE)</f>
        <v>Professional Services</v>
      </c>
      <c r="G45" s="3" t="str">
        <f>VLOOKUP(E45, Ref_GLAccount!$A$2:$D$9, 3, FALSE)</f>
        <v>Professional Services</v>
      </c>
      <c r="H45" s="6" t="s">
        <v>70</v>
      </c>
      <c r="I45" s="7">
        <v>12480</v>
      </c>
      <c r="J45" s="18" t="b">
        <f>IF(tblFactFinance[[#This Row],[MonthStart]] &lt;= Inputs!$B$1, TRUE, FALSE)</f>
        <v>1</v>
      </c>
    </row>
    <row r="46" spans="1:10" x14ac:dyDescent="0.3">
      <c r="A46" s="15">
        <v>45658</v>
      </c>
      <c r="B46" s="17" t="s">
        <v>54</v>
      </c>
      <c r="C46" s="3" t="s">
        <v>3</v>
      </c>
      <c r="D46" s="3" t="str">
        <f>VLOOKUP(C46, Ref_Department!$A$2:$D$6, 2, FALSE)</f>
        <v>Information Technology</v>
      </c>
      <c r="E46" s="3" t="s">
        <v>11</v>
      </c>
      <c r="F46" s="3" t="str">
        <f>VLOOKUP(E46, Ref_GLAccount!$A$2:$D$9, 2, FALSE)</f>
        <v>Office Supplies</v>
      </c>
      <c r="G46" s="3" t="str">
        <f>VLOOKUP(E46, Ref_GLAccount!$A$2:$D$9, 3, FALSE)</f>
        <v>Other OPEX</v>
      </c>
      <c r="H46" s="6" t="s">
        <v>66</v>
      </c>
      <c r="I46" s="7">
        <v>821.61</v>
      </c>
      <c r="J46" s="18" t="b">
        <f>IF(tblFactFinance[[#This Row],[MonthStart]] &lt;= Inputs!$B$1, TRUE, FALSE)</f>
        <v>1</v>
      </c>
    </row>
    <row r="47" spans="1:10" x14ac:dyDescent="0.3">
      <c r="A47" s="15">
        <v>45658</v>
      </c>
      <c r="B47" s="17" t="s">
        <v>54</v>
      </c>
      <c r="C47" s="3" t="s">
        <v>3</v>
      </c>
      <c r="D47" s="3" t="str">
        <f>VLOOKUP(C47, Ref_Department!$A$2:$D$6, 2, FALSE)</f>
        <v>Information Technology</v>
      </c>
      <c r="E47" s="3" t="s">
        <v>11</v>
      </c>
      <c r="F47" s="3" t="str">
        <f>VLOOKUP(E47, Ref_GLAccount!$A$2:$D$9, 2, FALSE)</f>
        <v>Office Supplies</v>
      </c>
      <c r="G47" s="3" t="str">
        <f>VLOOKUP(E47, Ref_GLAccount!$A$2:$D$9, 3, FALSE)</f>
        <v>Other OPEX</v>
      </c>
      <c r="H47" s="6" t="s">
        <v>70</v>
      </c>
      <c r="I47" s="7">
        <v>832</v>
      </c>
      <c r="J47" s="18" t="b">
        <f>IF(tblFactFinance[[#This Row],[MonthStart]] &lt;= Inputs!$B$1, TRUE, FALSE)</f>
        <v>1</v>
      </c>
    </row>
    <row r="48" spans="1:10" x14ac:dyDescent="0.3">
      <c r="A48" s="15">
        <v>45658</v>
      </c>
      <c r="B48" s="17" t="s">
        <v>54</v>
      </c>
      <c r="C48" s="3" t="s">
        <v>3</v>
      </c>
      <c r="D48" s="3" t="str">
        <f>VLOOKUP(C48, Ref_Department!$A$2:$D$6, 2, FALSE)</f>
        <v>Information Technology</v>
      </c>
      <c r="E48" s="3" t="s">
        <v>12</v>
      </c>
      <c r="F48" s="3" t="str">
        <f>VLOOKUP(E48, Ref_GLAccount!$A$2:$D$9, 2, FALSE)</f>
        <v>Training &amp; Development</v>
      </c>
      <c r="G48" s="3" t="str">
        <f>VLOOKUP(E48, Ref_GLAccount!$A$2:$D$9, 3, FALSE)</f>
        <v>Other OPEX</v>
      </c>
      <c r="H48" s="6" t="s">
        <v>66</v>
      </c>
      <c r="I48" s="7">
        <v>1908.72</v>
      </c>
      <c r="J48" s="18" t="b">
        <f>IF(tblFactFinance[[#This Row],[MonthStart]] &lt;= Inputs!$B$1, TRUE, FALSE)</f>
        <v>1</v>
      </c>
    </row>
    <row r="49" spans="1:10" x14ac:dyDescent="0.3">
      <c r="A49" s="15">
        <v>45658</v>
      </c>
      <c r="B49" s="17" t="s">
        <v>54</v>
      </c>
      <c r="C49" s="3" t="s">
        <v>3</v>
      </c>
      <c r="D49" s="3" t="str">
        <f>VLOOKUP(C49, Ref_Department!$A$2:$D$6, 2, FALSE)</f>
        <v>Information Technology</v>
      </c>
      <c r="E49" s="3" t="s">
        <v>12</v>
      </c>
      <c r="F49" s="3" t="str">
        <f>VLOOKUP(E49, Ref_GLAccount!$A$2:$D$9, 2, FALSE)</f>
        <v>Training &amp; Development</v>
      </c>
      <c r="G49" s="3" t="str">
        <f>VLOOKUP(E49, Ref_GLAccount!$A$2:$D$9, 3, FALSE)</f>
        <v>Other OPEX</v>
      </c>
      <c r="H49" s="6" t="s">
        <v>70</v>
      </c>
      <c r="I49" s="7">
        <v>1872</v>
      </c>
      <c r="J49" s="18" t="b">
        <f>IF(tblFactFinance[[#This Row],[MonthStart]] &lt;= Inputs!$B$1, TRUE, FALSE)</f>
        <v>1</v>
      </c>
    </row>
    <row r="50" spans="1:10" x14ac:dyDescent="0.3">
      <c r="A50" s="15">
        <v>45658</v>
      </c>
      <c r="B50" s="17" t="s">
        <v>54</v>
      </c>
      <c r="C50" s="3" t="s">
        <v>4</v>
      </c>
      <c r="D50" s="3" t="str">
        <f>VLOOKUP(C50, Ref_Department!$A$2:$D$6, 2, FALSE)</f>
        <v>Marketing</v>
      </c>
      <c r="E50" s="3" t="s">
        <v>33</v>
      </c>
      <c r="F50" s="3" t="str">
        <f>VLOOKUP(E50, Ref_GLAccount!$A$2:$D$9, 2, FALSE)</f>
        <v>Salaries</v>
      </c>
      <c r="G50" s="3" t="str">
        <f>VLOOKUP(E50, Ref_GLAccount!$A$2:$D$9, 3, FALSE)</f>
        <v>Personnel</v>
      </c>
      <c r="H50" s="6" t="s">
        <v>66</v>
      </c>
      <c r="I50" s="7">
        <v>66624.02</v>
      </c>
      <c r="J50" s="18" t="b">
        <f>IF(tblFactFinance[[#This Row],[MonthStart]] &lt;= Inputs!$B$1, TRUE, FALSE)</f>
        <v>1</v>
      </c>
    </row>
    <row r="51" spans="1:10" x14ac:dyDescent="0.3">
      <c r="A51" s="15">
        <v>45658</v>
      </c>
      <c r="B51" s="17" t="s">
        <v>54</v>
      </c>
      <c r="C51" s="3" t="s">
        <v>4</v>
      </c>
      <c r="D51" s="3" t="str">
        <f>VLOOKUP(C51, Ref_Department!$A$2:$D$6, 2, FALSE)</f>
        <v>Marketing</v>
      </c>
      <c r="E51" s="3" t="s">
        <v>33</v>
      </c>
      <c r="F51" s="3" t="str">
        <f>VLOOKUP(E51, Ref_GLAccount!$A$2:$D$9, 2, FALSE)</f>
        <v>Salaries</v>
      </c>
      <c r="G51" s="3" t="str">
        <f>VLOOKUP(E51, Ref_GLAccount!$A$2:$D$9, 3, FALSE)</f>
        <v>Personnel</v>
      </c>
      <c r="H51" s="6" t="s">
        <v>70</v>
      </c>
      <c r="I51" s="7">
        <v>64375</v>
      </c>
      <c r="J51" s="18" t="b">
        <f>IF(tblFactFinance[[#This Row],[MonthStart]] &lt;= Inputs!$B$1, TRUE, FALSE)</f>
        <v>1</v>
      </c>
    </row>
    <row r="52" spans="1:10" x14ac:dyDescent="0.3">
      <c r="A52" s="15">
        <v>45658</v>
      </c>
      <c r="B52" s="17" t="s">
        <v>54</v>
      </c>
      <c r="C52" s="3" t="s">
        <v>4</v>
      </c>
      <c r="D52" s="3" t="str">
        <f>VLOOKUP(C52, Ref_Department!$A$2:$D$6, 2, FALSE)</f>
        <v>Marketing</v>
      </c>
      <c r="E52" s="3" t="s">
        <v>37</v>
      </c>
      <c r="F52" s="3" t="str">
        <f>VLOOKUP(E52, Ref_GLAccount!$A$2:$D$9, 2, FALSE)</f>
        <v>Benefits</v>
      </c>
      <c r="G52" s="3" t="str">
        <f>VLOOKUP(E52, Ref_GLAccount!$A$2:$D$9, 3, FALSE)</f>
        <v>Personnel</v>
      </c>
      <c r="H52" s="6" t="s">
        <v>66</v>
      </c>
      <c r="I52" s="7">
        <v>14026.18</v>
      </c>
      <c r="J52" s="18" t="b">
        <f>IF(tblFactFinance[[#This Row],[MonthStart]] &lt;= Inputs!$B$1, TRUE, FALSE)</f>
        <v>1</v>
      </c>
    </row>
    <row r="53" spans="1:10" x14ac:dyDescent="0.3">
      <c r="A53" s="15">
        <v>45658</v>
      </c>
      <c r="B53" s="17" t="s">
        <v>54</v>
      </c>
      <c r="C53" s="3" t="s">
        <v>4</v>
      </c>
      <c r="D53" s="3" t="str">
        <f>VLOOKUP(C53, Ref_Department!$A$2:$D$6, 2, FALSE)</f>
        <v>Marketing</v>
      </c>
      <c r="E53" s="3" t="s">
        <v>37</v>
      </c>
      <c r="F53" s="3" t="str">
        <f>VLOOKUP(E53, Ref_GLAccount!$A$2:$D$9, 2, FALSE)</f>
        <v>Benefits</v>
      </c>
      <c r="G53" s="3" t="str">
        <f>VLOOKUP(E53, Ref_GLAccount!$A$2:$D$9, 3, FALSE)</f>
        <v>Personnel</v>
      </c>
      <c r="H53" s="6" t="s">
        <v>70</v>
      </c>
      <c r="I53" s="7">
        <v>14162.5</v>
      </c>
      <c r="J53" s="18" t="b">
        <f>IF(tblFactFinance[[#This Row],[MonthStart]] &lt;= Inputs!$B$1, TRUE, FALSE)</f>
        <v>1</v>
      </c>
    </row>
    <row r="54" spans="1:10" x14ac:dyDescent="0.3">
      <c r="A54" s="15">
        <v>45658</v>
      </c>
      <c r="B54" s="17" t="s">
        <v>54</v>
      </c>
      <c r="C54" s="3" t="s">
        <v>4</v>
      </c>
      <c r="D54" s="3" t="str">
        <f>VLOOKUP(C54, Ref_Department!$A$2:$D$6, 2, FALSE)</f>
        <v>Marketing</v>
      </c>
      <c r="E54" s="3" t="s">
        <v>7</v>
      </c>
      <c r="F54" s="3" t="str">
        <f>VLOOKUP(E54, Ref_GLAccount!$A$2:$D$9, 2, FALSE)</f>
        <v>Occupancy &amp; Facilities</v>
      </c>
      <c r="G54" s="3" t="str">
        <f>VLOOKUP(E54, Ref_GLAccount!$A$2:$D$9, 3, FALSE)</f>
        <v>Facilities</v>
      </c>
      <c r="H54" s="6" t="s">
        <v>66</v>
      </c>
      <c r="I54" s="7">
        <v>6455.81</v>
      </c>
      <c r="J54" s="18" t="b">
        <f>IF(tblFactFinance[[#This Row],[MonthStart]] &lt;= Inputs!$B$1, TRUE, FALSE)</f>
        <v>1</v>
      </c>
    </row>
    <row r="55" spans="1:10" x14ac:dyDescent="0.3">
      <c r="A55" s="15">
        <v>45658</v>
      </c>
      <c r="B55" s="17" t="s">
        <v>54</v>
      </c>
      <c r="C55" s="3" t="s">
        <v>4</v>
      </c>
      <c r="D55" s="3" t="str">
        <f>VLOOKUP(C55, Ref_Department!$A$2:$D$6, 2, FALSE)</f>
        <v>Marketing</v>
      </c>
      <c r="E55" s="3" t="s">
        <v>7</v>
      </c>
      <c r="F55" s="3" t="str">
        <f>VLOOKUP(E55, Ref_GLAccount!$A$2:$D$9, 2, FALSE)</f>
        <v>Occupancy &amp; Facilities</v>
      </c>
      <c r="G55" s="3" t="str">
        <f>VLOOKUP(E55, Ref_GLAccount!$A$2:$D$9, 3, FALSE)</f>
        <v>Facilities</v>
      </c>
      <c r="H55" s="6" t="s">
        <v>70</v>
      </c>
      <c r="I55" s="7">
        <v>6000</v>
      </c>
      <c r="J55" s="18" t="b">
        <f>IF(tblFactFinance[[#This Row],[MonthStart]] &lt;= Inputs!$B$1, TRUE, FALSE)</f>
        <v>1</v>
      </c>
    </row>
    <row r="56" spans="1:10" x14ac:dyDescent="0.3">
      <c r="A56" s="15">
        <v>45658</v>
      </c>
      <c r="B56" s="17" t="s">
        <v>54</v>
      </c>
      <c r="C56" s="3" t="s">
        <v>4</v>
      </c>
      <c r="D56" s="3" t="str">
        <f>VLOOKUP(C56, Ref_Department!$A$2:$D$6, 2, FALSE)</f>
        <v>Marketing</v>
      </c>
      <c r="E56" s="3" t="s">
        <v>8</v>
      </c>
      <c r="F56" s="3" t="str">
        <f>VLOOKUP(E56, Ref_GLAccount!$A$2:$D$9, 2, FALSE)</f>
        <v>IT Software &amp; Subscriptions</v>
      </c>
      <c r="G56" s="3" t="str">
        <f>VLOOKUP(E56, Ref_GLAccount!$A$2:$D$9, 3, FALSE)</f>
        <v>IT</v>
      </c>
      <c r="H56" s="6" t="s">
        <v>66</v>
      </c>
      <c r="I56" s="7">
        <v>7352.28</v>
      </c>
      <c r="J56" s="18" t="b">
        <f>IF(tblFactFinance[[#This Row],[MonthStart]] &lt;= Inputs!$B$1, TRUE, FALSE)</f>
        <v>1</v>
      </c>
    </row>
    <row r="57" spans="1:10" x14ac:dyDescent="0.3">
      <c r="A57" s="15">
        <v>45658</v>
      </c>
      <c r="B57" s="17" t="s">
        <v>54</v>
      </c>
      <c r="C57" s="3" t="s">
        <v>4</v>
      </c>
      <c r="D57" s="3" t="str">
        <f>VLOOKUP(C57, Ref_Department!$A$2:$D$6, 2, FALSE)</f>
        <v>Marketing</v>
      </c>
      <c r="E57" s="3" t="s">
        <v>8</v>
      </c>
      <c r="F57" s="3" t="str">
        <f>VLOOKUP(E57, Ref_GLAccount!$A$2:$D$9, 2, FALSE)</f>
        <v>IT Software &amp; Subscriptions</v>
      </c>
      <c r="G57" s="3" t="str">
        <f>VLOOKUP(E57, Ref_GLAccount!$A$2:$D$9, 3, FALSE)</f>
        <v>IT</v>
      </c>
      <c r="H57" s="6" t="s">
        <v>70</v>
      </c>
      <c r="I57" s="7">
        <v>7280</v>
      </c>
      <c r="J57" s="18" t="b">
        <f>IF(tblFactFinance[[#This Row],[MonthStart]] &lt;= Inputs!$B$1, TRUE, FALSE)</f>
        <v>1</v>
      </c>
    </row>
    <row r="58" spans="1:10" x14ac:dyDescent="0.3">
      <c r="A58" s="15">
        <v>45658</v>
      </c>
      <c r="B58" s="17" t="s">
        <v>54</v>
      </c>
      <c r="C58" s="3" t="s">
        <v>4</v>
      </c>
      <c r="D58" s="3" t="str">
        <f>VLOOKUP(C58, Ref_Department!$A$2:$D$6, 2, FALSE)</f>
        <v>Marketing</v>
      </c>
      <c r="E58" s="3" t="s">
        <v>9</v>
      </c>
      <c r="F58" s="3" t="str">
        <f>VLOOKUP(E58, Ref_GLAccount!$A$2:$D$9, 2, FALSE)</f>
        <v>Marketing &amp; Advertising</v>
      </c>
      <c r="G58" s="3" t="str">
        <f>VLOOKUP(E58, Ref_GLAccount!$A$2:$D$9, 3, FALSE)</f>
        <v>Marketing</v>
      </c>
      <c r="H58" s="6" t="s">
        <v>66</v>
      </c>
      <c r="I58" s="7">
        <v>30031.25</v>
      </c>
      <c r="J58" s="18" t="b">
        <f>IF(tblFactFinance[[#This Row],[MonthStart]] &lt;= Inputs!$B$1, TRUE, FALSE)</f>
        <v>1</v>
      </c>
    </row>
    <row r="59" spans="1:10" x14ac:dyDescent="0.3">
      <c r="A59" s="15">
        <v>45658</v>
      </c>
      <c r="B59" s="17" t="s">
        <v>54</v>
      </c>
      <c r="C59" s="3" t="s">
        <v>4</v>
      </c>
      <c r="D59" s="3" t="str">
        <f>VLOOKUP(C59, Ref_Department!$A$2:$D$6, 2, FALSE)</f>
        <v>Marketing</v>
      </c>
      <c r="E59" s="3" t="s">
        <v>9</v>
      </c>
      <c r="F59" s="3" t="str">
        <f>VLOOKUP(E59, Ref_GLAccount!$A$2:$D$9, 2, FALSE)</f>
        <v>Marketing &amp; Advertising</v>
      </c>
      <c r="G59" s="3" t="str">
        <f>VLOOKUP(E59, Ref_GLAccount!$A$2:$D$9, 3, FALSE)</f>
        <v>Marketing</v>
      </c>
      <c r="H59" s="6" t="s">
        <v>70</v>
      </c>
      <c r="I59" s="7">
        <v>29120</v>
      </c>
      <c r="J59" s="18" t="b">
        <f>IF(tblFactFinance[[#This Row],[MonthStart]] &lt;= Inputs!$B$1, TRUE, FALSE)</f>
        <v>1</v>
      </c>
    </row>
    <row r="60" spans="1:10" x14ac:dyDescent="0.3">
      <c r="A60" s="15">
        <v>45658</v>
      </c>
      <c r="B60" s="17" t="s">
        <v>54</v>
      </c>
      <c r="C60" s="3" t="s">
        <v>4</v>
      </c>
      <c r="D60" s="3" t="str">
        <f>VLOOKUP(C60, Ref_Department!$A$2:$D$6, 2, FALSE)</f>
        <v>Marketing</v>
      </c>
      <c r="E60" s="3" t="s">
        <v>10</v>
      </c>
      <c r="F60" s="3" t="str">
        <f>VLOOKUP(E60, Ref_GLAccount!$A$2:$D$9, 2, FALSE)</f>
        <v>Professional Services</v>
      </c>
      <c r="G60" s="3" t="str">
        <f>VLOOKUP(E60, Ref_GLAccount!$A$2:$D$9, 3, FALSE)</f>
        <v>Professional Services</v>
      </c>
      <c r="H60" s="6" t="s">
        <v>66</v>
      </c>
      <c r="I60" s="7">
        <v>5962.14</v>
      </c>
      <c r="J60" s="18" t="b">
        <f>IF(tblFactFinance[[#This Row],[MonthStart]] &lt;= Inputs!$B$1, TRUE, FALSE)</f>
        <v>1</v>
      </c>
    </row>
    <row r="61" spans="1:10" x14ac:dyDescent="0.3">
      <c r="A61" s="15">
        <v>45658</v>
      </c>
      <c r="B61" s="17" t="s">
        <v>54</v>
      </c>
      <c r="C61" s="3" t="s">
        <v>4</v>
      </c>
      <c r="D61" s="3" t="str">
        <f>VLOOKUP(C61, Ref_Department!$A$2:$D$6, 2, FALSE)</f>
        <v>Marketing</v>
      </c>
      <c r="E61" s="3" t="s">
        <v>10</v>
      </c>
      <c r="F61" s="3" t="str">
        <f>VLOOKUP(E61, Ref_GLAccount!$A$2:$D$9, 2, FALSE)</f>
        <v>Professional Services</v>
      </c>
      <c r="G61" s="3" t="str">
        <f>VLOOKUP(E61, Ref_GLAccount!$A$2:$D$9, 3, FALSE)</f>
        <v>Professional Services</v>
      </c>
      <c r="H61" s="6" t="s">
        <v>70</v>
      </c>
      <c r="I61" s="7">
        <v>6240</v>
      </c>
      <c r="J61" s="18" t="b">
        <f>IF(tblFactFinance[[#This Row],[MonthStart]] &lt;= Inputs!$B$1, TRUE, FALSE)</f>
        <v>1</v>
      </c>
    </row>
    <row r="62" spans="1:10" x14ac:dyDescent="0.3">
      <c r="A62" s="15">
        <v>45658</v>
      </c>
      <c r="B62" s="17" t="s">
        <v>54</v>
      </c>
      <c r="C62" s="3" t="s">
        <v>4</v>
      </c>
      <c r="D62" s="3" t="str">
        <f>VLOOKUP(C62, Ref_Department!$A$2:$D$6, 2, FALSE)</f>
        <v>Marketing</v>
      </c>
      <c r="E62" s="3" t="s">
        <v>11</v>
      </c>
      <c r="F62" s="3" t="str">
        <f>VLOOKUP(E62, Ref_GLAccount!$A$2:$D$9, 2, FALSE)</f>
        <v>Office Supplies</v>
      </c>
      <c r="G62" s="3" t="str">
        <f>VLOOKUP(E62, Ref_GLAccount!$A$2:$D$9, 3, FALSE)</f>
        <v>Other OPEX</v>
      </c>
      <c r="H62" s="6" t="s">
        <v>66</v>
      </c>
      <c r="I62" s="7">
        <v>744.55</v>
      </c>
      <c r="J62" s="18" t="b">
        <f>IF(tblFactFinance[[#This Row],[MonthStart]] &lt;= Inputs!$B$1, TRUE, FALSE)</f>
        <v>1</v>
      </c>
    </row>
    <row r="63" spans="1:10" x14ac:dyDescent="0.3">
      <c r="A63" s="15">
        <v>45658</v>
      </c>
      <c r="B63" s="17" t="s">
        <v>54</v>
      </c>
      <c r="C63" s="3" t="s">
        <v>4</v>
      </c>
      <c r="D63" s="3" t="str">
        <f>VLOOKUP(C63, Ref_Department!$A$2:$D$6, 2, FALSE)</f>
        <v>Marketing</v>
      </c>
      <c r="E63" s="3" t="s">
        <v>11</v>
      </c>
      <c r="F63" s="3" t="str">
        <f>VLOOKUP(E63, Ref_GLAccount!$A$2:$D$9, 2, FALSE)</f>
        <v>Office Supplies</v>
      </c>
      <c r="G63" s="3" t="str">
        <f>VLOOKUP(E63, Ref_GLAccount!$A$2:$D$9, 3, FALSE)</f>
        <v>Other OPEX</v>
      </c>
      <c r="H63" s="6" t="s">
        <v>70</v>
      </c>
      <c r="I63" s="7">
        <v>728</v>
      </c>
      <c r="J63" s="18" t="b">
        <f>IF(tblFactFinance[[#This Row],[MonthStart]] &lt;= Inputs!$B$1, TRUE, FALSE)</f>
        <v>1</v>
      </c>
    </row>
    <row r="64" spans="1:10" x14ac:dyDescent="0.3">
      <c r="A64" s="15">
        <v>45658</v>
      </c>
      <c r="B64" s="17" t="s">
        <v>54</v>
      </c>
      <c r="C64" s="3" t="s">
        <v>4</v>
      </c>
      <c r="D64" s="3" t="str">
        <f>VLOOKUP(C64, Ref_Department!$A$2:$D$6, 2, FALSE)</f>
        <v>Marketing</v>
      </c>
      <c r="E64" s="3" t="s">
        <v>12</v>
      </c>
      <c r="F64" s="3" t="str">
        <f>VLOOKUP(E64, Ref_GLAccount!$A$2:$D$9, 2, FALSE)</f>
        <v>Training &amp; Development</v>
      </c>
      <c r="G64" s="3" t="str">
        <f>VLOOKUP(E64, Ref_GLAccount!$A$2:$D$9, 3, FALSE)</f>
        <v>Other OPEX</v>
      </c>
      <c r="H64" s="6" t="s">
        <v>66</v>
      </c>
      <c r="I64" s="7">
        <v>1074.7</v>
      </c>
      <c r="J64" s="18" t="b">
        <f>IF(tblFactFinance[[#This Row],[MonthStart]] &lt;= Inputs!$B$1, TRUE, FALSE)</f>
        <v>1</v>
      </c>
    </row>
    <row r="65" spans="1:10" x14ac:dyDescent="0.3">
      <c r="A65" s="15">
        <v>45658</v>
      </c>
      <c r="B65" s="17" t="s">
        <v>54</v>
      </c>
      <c r="C65" s="3" t="s">
        <v>4</v>
      </c>
      <c r="D65" s="3" t="str">
        <f>VLOOKUP(C65, Ref_Department!$A$2:$D$6, 2, FALSE)</f>
        <v>Marketing</v>
      </c>
      <c r="E65" s="3" t="s">
        <v>12</v>
      </c>
      <c r="F65" s="3" t="str">
        <f>VLOOKUP(E65, Ref_GLAccount!$A$2:$D$9, 2, FALSE)</f>
        <v>Training &amp; Development</v>
      </c>
      <c r="G65" s="3" t="str">
        <f>VLOOKUP(E65, Ref_GLAccount!$A$2:$D$9, 3, FALSE)</f>
        <v>Other OPEX</v>
      </c>
      <c r="H65" s="6" t="s">
        <v>70</v>
      </c>
      <c r="I65" s="7">
        <v>1144</v>
      </c>
      <c r="J65" s="18" t="b">
        <f>IF(tblFactFinance[[#This Row],[MonthStart]] &lt;= Inputs!$B$1, TRUE, FALSE)</f>
        <v>1</v>
      </c>
    </row>
    <row r="66" spans="1:10" x14ac:dyDescent="0.3">
      <c r="A66" s="15">
        <v>45658</v>
      </c>
      <c r="B66" s="17" t="s">
        <v>54</v>
      </c>
      <c r="C66" s="3" t="s">
        <v>5</v>
      </c>
      <c r="D66" s="3" t="str">
        <f>VLOOKUP(C66, Ref_Department!$A$2:$D$6, 2, FALSE)</f>
        <v>Human Resources</v>
      </c>
      <c r="E66" s="3" t="s">
        <v>33</v>
      </c>
      <c r="F66" s="3" t="str">
        <f>VLOOKUP(E66, Ref_GLAccount!$A$2:$D$9, 2, FALSE)</f>
        <v>Salaries</v>
      </c>
      <c r="G66" s="3" t="str">
        <f>VLOOKUP(E66, Ref_GLAccount!$A$2:$D$9, 3, FALSE)</f>
        <v>Personnel</v>
      </c>
      <c r="H66" s="6" t="s">
        <v>66</v>
      </c>
      <c r="I66" s="7">
        <v>47947.03</v>
      </c>
      <c r="J66" s="18" t="b">
        <f>IF(tblFactFinance[[#This Row],[MonthStart]] &lt;= Inputs!$B$1, TRUE, FALSE)</f>
        <v>1</v>
      </c>
    </row>
    <row r="67" spans="1:10" x14ac:dyDescent="0.3">
      <c r="A67" s="15">
        <v>45658</v>
      </c>
      <c r="B67" s="17" t="s">
        <v>54</v>
      </c>
      <c r="C67" s="3" t="s">
        <v>5</v>
      </c>
      <c r="D67" s="3" t="str">
        <f>VLOOKUP(C67, Ref_Department!$A$2:$D$6, 2, FALSE)</f>
        <v>Human Resources</v>
      </c>
      <c r="E67" s="3" t="s">
        <v>33</v>
      </c>
      <c r="F67" s="3" t="str">
        <f>VLOOKUP(E67, Ref_GLAccount!$A$2:$D$9, 2, FALSE)</f>
        <v>Salaries</v>
      </c>
      <c r="G67" s="3" t="str">
        <f>VLOOKUP(E67, Ref_GLAccount!$A$2:$D$9, 3, FALSE)</f>
        <v>Personnel</v>
      </c>
      <c r="H67" s="6" t="s">
        <v>70</v>
      </c>
      <c r="I67" s="7">
        <v>53560</v>
      </c>
      <c r="J67" s="18" t="b">
        <f>IF(tblFactFinance[[#This Row],[MonthStart]] &lt;= Inputs!$B$1, TRUE, FALSE)</f>
        <v>1</v>
      </c>
    </row>
    <row r="68" spans="1:10" x14ac:dyDescent="0.3">
      <c r="A68" s="15">
        <v>45658</v>
      </c>
      <c r="B68" s="17" t="s">
        <v>54</v>
      </c>
      <c r="C68" s="3" t="s">
        <v>5</v>
      </c>
      <c r="D68" s="3" t="str">
        <f>VLOOKUP(C68, Ref_Department!$A$2:$D$6, 2, FALSE)</f>
        <v>Human Resources</v>
      </c>
      <c r="E68" s="3" t="s">
        <v>37</v>
      </c>
      <c r="F68" s="3" t="str">
        <f>VLOOKUP(E68, Ref_GLAccount!$A$2:$D$9, 2, FALSE)</f>
        <v>Benefits</v>
      </c>
      <c r="G68" s="3" t="str">
        <f>VLOOKUP(E68, Ref_GLAccount!$A$2:$D$9, 3, FALSE)</f>
        <v>Personnel</v>
      </c>
      <c r="H68" s="6" t="s">
        <v>66</v>
      </c>
      <c r="I68" s="7">
        <v>11497.16</v>
      </c>
      <c r="J68" s="18" t="b">
        <f>IF(tblFactFinance[[#This Row],[MonthStart]] &lt;= Inputs!$B$1, TRUE, FALSE)</f>
        <v>1</v>
      </c>
    </row>
    <row r="69" spans="1:10" x14ac:dyDescent="0.3">
      <c r="A69" s="15">
        <v>45658</v>
      </c>
      <c r="B69" s="17" t="s">
        <v>54</v>
      </c>
      <c r="C69" s="3" t="s">
        <v>5</v>
      </c>
      <c r="D69" s="3" t="str">
        <f>VLOOKUP(C69, Ref_Department!$A$2:$D$6, 2, FALSE)</f>
        <v>Human Resources</v>
      </c>
      <c r="E69" s="3" t="s">
        <v>37</v>
      </c>
      <c r="F69" s="3" t="str">
        <f>VLOOKUP(E69, Ref_GLAccount!$A$2:$D$9, 2, FALSE)</f>
        <v>Benefits</v>
      </c>
      <c r="G69" s="3" t="str">
        <f>VLOOKUP(E69, Ref_GLAccount!$A$2:$D$9, 3, FALSE)</f>
        <v>Personnel</v>
      </c>
      <c r="H69" s="6" t="s">
        <v>70</v>
      </c>
      <c r="I69" s="7">
        <v>11783.2</v>
      </c>
      <c r="J69" s="18" t="b">
        <f>IF(tblFactFinance[[#This Row],[MonthStart]] &lt;= Inputs!$B$1, TRUE, FALSE)</f>
        <v>1</v>
      </c>
    </row>
    <row r="70" spans="1:10" x14ac:dyDescent="0.3">
      <c r="A70" s="15">
        <v>45658</v>
      </c>
      <c r="B70" s="17" t="s">
        <v>54</v>
      </c>
      <c r="C70" s="3" t="s">
        <v>5</v>
      </c>
      <c r="D70" s="3" t="str">
        <f>VLOOKUP(C70, Ref_Department!$A$2:$D$6, 2, FALSE)</f>
        <v>Human Resources</v>
      </c>
      <c r="E70" s="3" t="s">
        <v>7</v>
      </c>
      <c r="F70" s="3" t="str">
        <f>VLOOKUP(E70, Ref_GLAccount!$A$2:$D$9, 2, FALSE)</f>
        <v>Occupancy &amp; Facilities</v>
      </c>
      <c r="G70" s="3" t="str">
        <f>VLOOKUP(E70, Ref_GLAccount!$A$2:$D$9, 3, FALSE)</f>
        <v>Facilities</v>
      </c>
      <c r="H70" s="6" t="s">
        <v>66</v>
      </c>
      <c r="I70" s="7">
        <v>4084.68</v>
      </c>
      <c r="J70" s="18" t="b">
        <f>IF(tblFactFinance[[#This Row],[MonthStart]] &lt;= Inputs!$B$1, TRUE, FALSE)</f>
        <v>1</v>
      </c>
    </row>
    <row r="71" spans="1:10" x14ac:dyDescent="0.3">
      <c r="A71" s="15">
        <v>45658</v>
      </c>
      <c r="B71" s="17" t="s">
        <v>54</v>
      </c>
      <c r="C71" s="3" t="s">
        <v>5</v>
      </c>
      <c r="D71" s="3" t="str">
        <f>VLOOKUP(C71, Ref_Department!$A$2:$D$6, 2, FALSE)</f>
        <v>Human Resources</v>
      </c>
      <c r="E71" s="3" t="s">
        <v>7</v>
      </c>
      <c r="F71" s="3" t="str">
        <f>VLOOKUP(E71, Ref_GLAccount!$A$2:$D$9, 2, FALSE)</f>
        <v>Occupancy &amp; Facilities</v>
      </c>
      <c r="G71" s="3" t="str">
        <f>VLOOKUP(E71, Ref_GLAccount!$A$2:$D$9, 3, FALSE)</f>
        <v>Facilities</v>
      </c>
      <c r="H71" s="6" t="s">
        <v>70</v>
      </c>
      <c r="I71" s="7">
        <v>4000</v>
      </c>
      <c r="J71" s="18" t="b">
        <f>IF(tblFactFinance[[#This Row],[MonthStart]] &lt;= Inputs!$B$1, TRUE, FALSE)</f>
        <v>1</v>
      </c>
    </row>
    <row r="72" spans="1:10" x14ac:dyDescent="0.3">
      <c r="A72" s="15">
        <v>45658</v>
      </c>
      <c r="B72" s="17" t="s">
        <v>54</v>
      </c>
      <c r="C72" s="3" t="s">
        <v>5</v>
      </c>
      <c r="D72" s="3" t="str">
        <f>VLOOKUP(C72, Ref_Department!$A$2:$D$6, 2, FALSE)</f>
        <v>Human Resources</v>
      </c>
      <c r="E72" s="3" t="s">
        <v>8</v>
      </c>
      <c r="F72" s="3" t="str">
        <f>VLOOKUP(E72, Ref_GLAccount!$A$2:$D$9, 2, FALSE)</f>
        <v>IT Software &amp; Subscriptions</v>
      </c>
      <c r="G72" s="3" t="str">
        <f>VLOOKUP(E72, Ref_GLAccount!$A$2:$D$9, 3, FALSE)</f>
        <v>IT</v>
      </c>
      <c r="H72" s="6" t="s">
        <v>66</v>
      </c>
      <c r="I72" s="7">
        <v>5382.21</v>
      </c>
      <c r="J72" s="18" t="b">
        <f>IF(tblFactFinance[[#This Row],[MonthStart]] &lt;= Inputs!$B$1, TRUE, FALSE)</f>
        <v>1</v>
      </c>
    </row>
    <row r="73" spans="1:10" x14ac:dyDescent="0.3">
      <c r="A73" s="15">
        <v>45658</v>
      </c>
      <c r="B73" s="17" t="s">
        <v>54</v>
      </c>
      <c r="C73" s="3" t="s">
        <v>5</v>
      </c>
      <c r="D73" s="3" t="str">
        <f>VLOOKUP(C73, Ref_Department!$A$2:$D$6, 2, FALSE)</f>
        <v>Human Resources</v>
      </c>
      <c r="E73" s="3" t="s">
        <v>8</v>
      </c>
      <c r="F73" s="3" t="str">
        <f>VLOOKUP(E73, Ref_GLAccount!$A$2:$D$9, 2, FALSE)</f>
        <v>IT Software &amp; Subscriptions</v>
      </c>
      <c r="G73" s="3" t="str">
        <f>VLOOKUP(E73, Ref_GLAccount!$A$2:$D$9, 3, FALSE)</f>
        <v>IT</v>
      </c>
      <c r="H73" s="6" t="s">
        <v>70</v>
      </c>
      <c r="I73" s="7">
        <v>5200</v>
      </c>
      <c r="J73" s="18" t="b">
        <f>IF(tblFactFinance[[#This Row],[MonthStart]] &lt;= Inputs!$B$1, TRUE, FALSE)</f>
        <v>1</v>
      </c>
    </row>
    <row r="74" spans="1:10" x14ac:dyDescent="0.3">
      <c r="A74" s="15">
        <v>45658</v>
      </c>
      <c r="B74" s="17" t="s">
        <v>54</v>
      </c>
      <c r="C74" s="3" t="s">
        <v>5</v>
      </c>
      <c r="D74" s="3" t="str">
        <f>VLOOKUP(C74, Ref_Department!$A$2:$D$6, 2, FALSE)</f>
        <v>Human Resources</v>
      </c>
      <c r="E74" s="3" t="s">
        <v>9</v>
      </c>
      <c r="F74" s="3" t="str">
        <f>VLOOKUP(E74, Ref_GLAccount!$A$2:$D$9, 2, FALSE)</f>
        <v>Marketing &amp; Advertising</v>
      </c>
      <c r="G74" s="3" t="str">
        <f>VLOOKUP(E74, Ref_GLAccount!$A$2:$D$9, 3, FALSE)</f>
        <v>Marketing</v>
      </c>
      <c r="H74" s="6" t="s">
        <v>66</v>
      </c>
      <c r="I74" s="7">
        <v>1281.1600000000001</v>
      </c>
      <c r="J74" s="18" t="b">
        <f>IF(tblFactFinance[[#This Row],[MonthStart]] &lt;= Inputs!$B$1, TRUE, FALSE)</f>
        <v>1</v>
      </c>
    </row>
    <row r="75" spans="1:10" x14ac:dyDescent="0.3">
      <c r="A75" s="15">
        <v>45658</v>
      </c>
      <c r="B75" s="17" t="s">
        <v>54</v>
      </c>
      <c r="C75" s="3" t="s">
        <v>5</v>
      </c>
      <c r="D75" s="3" t="str">
        <f>VLOOKUP(C75, Ref_Department!$A$2:$D$6, 2, FALSE)</f>
        <v>Human Resources</v>
      </c>
      <c r="E75" s="3" t="s">
        <v>9</v>
      </c>
      <c r="F75" s="3" t="str">
        <f>VLOOKUP(E75, Ref_GLAccount!$A$2:$D$9, 2, FALSE)</f>
        <v>Marketing &amp; Advertising</v>
      </c>
      <c r="G75" s="3" t="str">
        <f>VLOOKUP(E75, Ref_GLAccount!$A$2:$D$9, 3, FALSE)</f>
        <v>Marketing</v>
      </c>
      <c r="H75" s="6" t="s">
        <v>70</v>
      </c>
      <c r="I75" s="7">
        <v>1248</v>
      </c>
      <c r="J75" s="18" t="b">
        <f>IF(tblFactFinance[[#This Row],[MonthStart]] &lt;= Inputs!$B$1, TRUE, FALSE)</f>
        <v>1</v>
      </c>
    </row>
    <row r="76" spans="1:10" x14ac:dyDescent="0.3">
      <c r="A76" s="15">
        <v>45658</v>
      </c>
      <c r="B76" s="17" t="s">
        <v>54</v>
      </c>
      <c r="C76" s="3" t="s">
        <v>5</v>
      </c>
      <c r="D76" s="3" t="str">
        <f>VLOOKUP(C76, Ref_Department!$A$2:$D$6, 2, FALSE)</f>
        <v>Human Resources</v>
      </c>
      <c r="E76" s="3" t="s">
        <v>10</v>
      </c>
      <c r="F76" s="3" t="str">
        <f>VLOOKUP(E76, Ref_GLAccount!$A$2:$D$9, 2, FALSE)</f>
        <v>Professional Services</v>
      </c>
      <c r="G76" s="3" t="str">
        <f>VLOOKUP(E76, Ref_GLAccount!$A$2:$D$9, 3, FALSE)</f>
        <v>Professional Services</v>
      </c>
      <c r="H76" s="6" t="s">
        <v>66</v>
      </c>
      <c r="I76" s="7">
        <v>3462.5</v>
      </c>
      <c r="J76" s="18" t="b">
        <f>IF(tblFactFinance[[#This Row],[MonthStart]] &lt;= Inputs!$B$1, TRUE, FALSE)</f>
        <v>1</v>
      </c>
    </row>
    <row r="77" spans="1:10" x14ac:dyDescent="0.3">
      <c r="A77" s="15">
        <v>45658</v>
      </c>
      <c r="B77" s="17" t="s">
        <v>54</v>
      </c>
      <c r="C77" s="3" t="s">
        <v>5</v>
      </c>
      <c r="D77" s="3" t="str">
        <f>VLOOKUP(C77, Ref_Department!$A$2:$D$6, 2, FALSE)</f>
        <v>Human Resources</v>
      </c>
      <c r="E77" s="3" t="s">
        <v>10</v>
      </c>
      <c r="F77" s="3" t="str">
        <f>VLOOKUP(E77, Ref_GLAccount!$A$2:$D$9, 2, FALSE)</f>
        <v>Professional Services</v>
      </c>
      <c r="G77" s="3" t="str">
        <f>VLOOKUP(E77, Ref_GLAccount!$A$2:$D$9, 3, FALSE)</f>
        <v>Professional Services</v>
      </c>
      <c r="H77" s="6" t="s">
        <v>70</v>
      </c>
      <c r="I77" s="7">
        <v>3640</v>
      </c>
      <c r="J77" s="18" t="b">
        <f>IF(tblFactFinance[[#This Row],[MonthStart]] &lt;= Inputs!$B$1, TRUE, FALSE)</f>
        <v>1</v>
      </c>
    </row>
    <row r="78" spans="1:10" x14ac:dyDescent="0.3">
      <c r="A78" s="15">
        <v>45658</v>
      </c>
      <c r="B78" s="17" t="s">
        <v>54</v>
      </c>
      <c r="C78" s="3" t="s">
        <v>5</v>
      </c>
      <c r="D78" s="3" t="str">
        <f>VLOOKUP(C78, Ref_Department!$A$2:$D$6, 2, FALSE)</f>
        <v>Human Resources</v>
      </c>
      <c r="E78" s="3" t="s">
        <v>11</v>
      </c>
      <c r="F78" s="3" t="str">
        <f>VLOOKUP(E78, Ref_GLAccount!$A$2:$D$9, 2, FALSE)</f>
        <v>Office Supplies</v>
      </c>
      <c r="G78" s="3" t="str">
        <f>VLOOKUP(E78, Ref_GLAccount!$A$2:$D$9, 3, FALSE)</f>
        <v>Other OPEX</v>
      </c>
      <c r="H78" s="6" t="s">
        <v>66</v>
      </c>
      <c r="I78" s="7">
        <v>645.15</v>
      </c>
      <c r="J78" s="18" t="b">
        <f>IF(tblFactFinance[[#This Row],[MonthStart]] &lt;= Inputs!$B$1, TRUE, FALSE)</f>
        <v>1</v>
      </c>
    </row>
    <row r="79" spans="1:10" x14ac:dyDescent="0.3">
      <c r="A79" s="15">
        <v>45658</v>
      </c>
      <c r="B79" s="17" t="s">
        <v>54</v>
      </c>
      <c r="C79" s="3" t="s">
        <v>5</v>
      </c>
      <c r="D79" s="3" t="str">
        <f>VLOOKUP(C79, Ref_Department!$A$2:$D$6, 2, FALSE)</f>
        <v>Human Resources</v>
      </c>
      <c r="E79" s="3" t="s">
        <v>11</v>
      </c>
      <c r="F79" s="3" t="str">
        <f>VLOOKUP(E79, Ref_GLAccount!$A$2:$D$9, 2, FALSE)</f>
        <v>Office Supplies</v>
      </c>
      <c r="G79" s="3" t="str">
        <f>VLOOKUP(E79, Ref_GLAccount!$A$2:$D$9, 3, FALSE)</f>
        <v>Other OPEX</v>
      </c>
      <c r="H79" s="6" t="s">
        <v>70</v>
      </c>
      <c r="I79" s="7">
        <v>624</v>
      </c>
      <c r="J79" s="18" t="b">
        <f>IF(tblFactFinance[[#This Row],[MonthStart]] &lt;= Inputs!$B$1, TRUE, FALSE)</f>
        <v>1</v>
      </c>
    </row>
    <row r="80" spans="1:10" x14ac:dyDescent="0.3">
      <c r="A80" s="15">
        <v>45658</v>
      </c>
      <c r="B80" s="17" t="s">
        <v>54</v>
      </c>
      <c r="C80" s="3" t="s">
        <v>5</v>
      </c>
      <c r="D80" s="3" t="str">
        <f>VLOOKUP(C80, Ref_Department!$A$2:$D$6, 2, FALSE)</f>
        <v>Human Resources</v>
      </c>
      <c r="E80" s="3" t="s">
        <v>12</v>
      </c>
      <c r="F80" s="3" t="str">
        <f>VLOOKUP(E80, Ref_GLAccount!$A$2:$D$9, 2, FALSE)</f>
        <v>Training &amp; Development</v>
      </c>
      <c r="G80" s="3" t="str">
        <f>VLOOKUP(E80, Ref_GLAccount!$A$2:$D$9, 3, FALSE)</f>
        <v>Other OPEX</v>
      </c>
      <c r="H80" s="6" t="s">
        <v>66</v>
      </c>
      <c r="I80" s="7">
        <v>1597.29</v>
      </c>
      <c r="J80" s="18" t="b">
        <f>IF(tblFactFinance[[#This Row],[MonthStart]] &lt;= Inputs!$B$1, TRUE, FALSE)</f>
        <v>1</v>
      </c>
    </row>
    <row r="81" spans="1:10" x14ac:dyDescent="0.3">
      <c r="A81" s="15">
        <v>45658</v>
      </c>
      <c r="B81" s="17" t="s">
        <v>54</v>
      </c>
      <c r="C81" s="3" t="s">
        <v>5</v>
      </c>
      <c r="D81" s="3" t="str">
        <f>VLOOKUP(C81, Ref_Department!$A$2:$D$6, 2, FALSE)</f>
        <v>Human Resources</v>
      </c>
      <c r="E81" s="3" t="s">
        <v>12</v>
      </c>
      <c r="F81" s="3" t="str">
        <f>VLOOKUP(E81, Ref_GLAccount!$A$2:$D$9, 2, FALSE)</f>
        <v>Training &amp; Development</v>
      </c>
      <c r="G81" s="3" t="str">
        <f>VLOOKUP(E81, Ref_GLAccount!$A$2:$D$9, 3, FALSE)</f>
        <v>Other OPEX</v>
      </c>
      <c r="H81" s="6" t="s">
        <v>70</v>
      </c>
      <c r="I81" s="7">
        <v>1664</v>
      </c>
      <c r="J81" s="18" t="b">
        <f>IF(tblFactFinance[[#This Row],[MonthStart]] &lt;= Inputs!$B$1, TRUE, FALSE)</f>
        <v>1</v>
      </c>
    </row>
    <row r="82" spans="1:10" x14ac:dyDescent="0.3">
      <c r="A82" s="15">
        <v>45689</v>
      </c>
      <c r="B82" s="17" t="s">
        <v>55</v>
      </c>
      <c r="C82" s="3" t="s">
        <v>1</v>
      </c>
      <c r="D82" s="3" t="str">
        <f>VLOOKUP(C82, Ref_Department!$A$2:$D$6, 2, FALSE)</f>
        <v>Branch Operations</v>
      </c>
      <c r="E82" s="3" t="s">
        <v>33</v>
      </c>
      <c r="F82" s="3" t="str">
        <f>VLOOKUP(E82, Ref_GLAccount!$A$2:$D$9, 2, FALSE)</f>
        <v>Salaries</v>
      </c>
      <c r="G82" s="3" t="str">
        <f>VLOOKUP(E82, Ref_GLAccount!$A$2:$D$9, 3, FALSE)</f>
        <v>Personnel</v>
      </c>
      <c r="H82" s="6" t="s">
        <v>66</v>
      </c>
      <c r="I82" s="7">
        <v>200157.12</v>
      </c>
      <c r="J82" s="18" t="b">
        <f>IF(tblFactFinance[[#This Row],[MonthStart]] &lt;= Inputs!$B$1, TRUE, FALSE)</f>
        <v>1</v>
      </c>
    </row>
    <row r="83" spans="1:10" x14ac:dyDescent="0.3">
      <c r="A83" s="15">
        <v>45689</v>
      </c>
      <c r="B83" s="17" t="s">
        <v>55</v>
      </c>
      <c r="C83" s="3" t="s">
        <v>1</v>
      </c>
      <c r="D83" s="3" t="str">
        <f>VLOOKUP(C83, Ref_Department!$A$2:$D$6, 2, FALSE)</f>
        <v>Branch Operations</v>
      </c>
      <c r="E83" s="3" t="s">
        <v>33</v>
      </c>
      <c r="F83" s="3" t="str">
        <f>VLOOKUP(E83, Ref_GLAccount!$A$2:$D$9, 2, FALSE)</f>
        <v>Salaries</v>
      </c>
      <c r="G83" s="3" t="str">
        <f>VLOOKUP(E83, Ref_GLAccount!$A$2:$D$9, 3, FALSE)</f>
        <v>Personnel</v>
      </c>
      <c r="H83" s="6" t="s">
        <v>70</v>
      </c>
      <c r="I83" s="7">
        <v>200850</v>
      </c>
      <c r="J83" s="18" t="b">
        <f>IF(tblFactFinance[[#This Row],[MonthStart]] &lt;= Inputs!$B$1, TRUE, FALSE)</f>
        <v>1</v>
      </c>
    </row>
    <row r="84" spans="1:10" x14ac:dyDescent="0.3">
      <c r="A84" s="15">
        <v>45689</v>
      </c>
      <c r="B84" s="17" t="s">
        <v>55</v>
      </c>
      <c r="C84" s="3" t="s">
        <v>1</v>
      </c>
      <c r="D84" s="3" t="str">
        <f>VLOOKUP(C84, Ref_Department!$A$2:$D$6, 2, FALSE)</f>
        <v>Branch Operations</v>
      </c>
      <c r="E84" s="3" t="s">
        <v>37</v>
      </c>
      <c r="F84" s="3" t="str">
        <f>VLOOKUP(E84, Ref_GLAccount!$A$2:$D$9, 2, FALSE)</f>
        <v>Benefits</v>
      </c>
      <c r="G84" s="3" t="str">
        <f>VLOOKUP(E84, Ref_GLAccount!$A$2:$D$9, 3, FALSE)</f>
        <v>Personnel</v>
      </c>
      <c r="H84" s="6" t="s">
        <v>66</v>
      </c>
      <c r="I84" s="7">
        <v>43667.54</v>
      </c>
      <c r="J84" s="18" t="b">
        <f>IF(tblFactFinance[[#This Row],[MonthStart]] &lt;= Inputs!$B$1, TRUE, FALSE)</f>
        <v>1</v>
      </c>
    </row>
    <row r="85" spans="1:10" x14ac:dyDescent="0.3">
      <c r="A85" s="15">
        <v>45689</v>
      </c>
      <c r="B85" s="17" t="s">
        <v>55</v>
      </c>
      <c r="C85" s="3" t="s">
        <v>1</v>
      </c>
      <c r="D85" s="3" t="str">
        <f>VLOOKUP(C85, Ref_Department!$A$2:$D$6, 2, FALSE)</f>
        <v>Branch Operations</v>
      </c>
      <c r="E85" s="3" t="s">
        <v>37</v>
      </c>
      <c r="F85" s="3" t="str">
        <f>VLOOKUP(E85, Ref_GLAccount!$A$2:$D$9, 2, FALSE)</f>
        <v>Benefits</v>
      </c>
      <c r="G85" s="3" t="str">
        <f>VLOOKUP(E85, Ref_GLAccount!$A$2:$D$9, 3, FALSE)</f>
        <v>Personnel</v>
      </c>
      <c r="H85" s="6" t="s">
        <v>70</v>
      </c>
      <c r="I85" s="7">
        <v>44187</v>
      </c>
      <c r="J85" s="18" t="b">
        <f>IF(tblFactFinance[[#This Row],[MonthStart]] &lt;= Inputs!$B$1, TRUE, FALSE)</f>
        <v>1</v>
      </c>
    </row>
    <row r="86" spans="1:10" x14ac:dyDescent="0.3">
      <c r="A86" s="15">
        <v>45689</v>
      </c>
      <c r="B86" s="17" t="s">
        <v>55</v>
      </c>
      <c r="C86" s="3" t="s">
        <v>1</v>
      </c>
      <c r="D86" s="3" t="str">
        <f>VLOOKUP(C86, Ref_Department!$A$2:$D$6, 2, FALSE)</f>
        <v>Branch Operations</v>
      </c>
      <c r="E86" s="3" t="s">
        <v>7</v>
      </c>
      <c r="F86" s="3" t="str">
        <f>VLOOKUP(E86, Ref_GLAccount!$A$2:$D$9, 2, FALSE)</f>
        <v>Occupancy &amp; Facilities</v>
      </c>
      <c r="G86" s="3" t="str">
        <f>VLOOKUP(E86, Ref_GLAccount!$A$2:$D$9, 3, FALSE)</f>
        <v>Facilities</v>
      </c>
      <c r="H86" s="6" t="s">
        <v>66</v>
      </c>
      <c r="I86" s="7">
        <v>40464.35</v>
      </c>
      <c r="J86" s="18" t="b">
        <f>IF(tblFactFinance[[#This Row],[MonthStart]] &lt;= Inputs!$B$1, TRUE, FALSE)</f>
        <v>1</v>
      </c>
    </row>
    <row r="87" spans="1:10" x14ac:dyDescent="0.3">
      <c r="A87" s="15">
        <v>45689</v>
      </c>
      <c r="B87" s="17" t="s">
        <v>55</v>
      </c>
      <c r="C87" s="3" t="s">
        <v>1</v>
      </c>
      <c r="D87" s="3" t="str">
        <f>VLOOKUP(C87, Ref_Department!$A$2:$D$6, 2, FALSE)</f>
        <v>Branch Operations</v>
      </c>
      <c r="E87" s="3" t="s">
        <v>7</v>
      </c>
      <c r="F87" s="3" t="str">
        <f>VLOOKUP(E87, Ref_GLAccount!$A$2:$D$9, 2, FALSE)</f>
        <v>Occupancy &amp; Facilities</v>
      </c>
      <c r="G87" s="3" t="str">
        <f>VLOOKUP(E87, Ref_GLAccount!$A$2:$D$9, 3, FALSE)</f>
        <v>Facilities</v>
      </c>
      <c r="H87" s="6" t="s">
        <v>70</v>
      </c>
      <c r="I87" s="7">
        <v>38000</v>
      </c>
      <c r="J87" s="18" t="b">
        <f>IF(tblFactFinance[[#This Row],[MonthStart]] &lt;= Inputs!$B$1, TRUE, FALSE)</f>
        <v>1</v>
      </c>
    </row>
    <row r="88" spans="1:10" x14ac:dyDescent="0.3">
      <c r="A88" s="15">
        <v>45689</v>
      </c>
      <c r="B88" s="17" t="s">
        <v>55</v>
      </c>
      <c r="C88" s="3" t="s">
        <v>1</v>
      </c>
      <c r="D88" s="3" t="str">
        <f>VLOOKUP(C88, Ref_Department!$A$2:$D$6, 2, FALSE)</f>
        <v>Branch Operations</v>
      </c>
      <c r="E88" s="3" t="s">
        <v>8</v>
      </c>
      <c r="F88" s="3" t="str">
        <f>VLOOKUP(E88, Ref_GLAccount!$A$2:$D$9, 2, FALSE)</f>
        <v>IT Software &amp; Subscriptions</v>
      </c>
      <c r="G88" s="3" t="str">
        <f>VLOOKUP(E88, Ref_GLAccount!$A$2:$D$9, 3, FALSE)</f>
        <v>IT</v>
      </c>
      <c r="H88" s="6" t="s">
        <v>66</v>
      </c>
      <c r="I88" s="7">
        <v>12888.66</v>
      </c>
      <c r="J88" s="18" t="b">
        <f>IF(tblFactFinance[[#This Row],[MonthStart]] &lt;= Inputs!$B$1, TRUE, FALSE)</f>
        <v>1</v>
      </c>
    </row>
    <row r="89" spans="1:10" x14ac:dyDescent="0.3">
      <c r="A89" s="15">
        <v>45689</v>
      </c>
      <c r="B89" s="17" t="s">
        <v>55</v>
      </c>
      <c r="C89" s="3" t="s">
        <v>1</v>
      </c>
      <c r="D89" s="3" t="str">
        <f>VLOOKUP(C89, Ref_Department!$A$2:$D$6, 2, FALSE)</f>
        <v>Branch Operations</v>
      </c>
      <c r="E89" s="3" t="s">
        <v>8</v>
      </c>
      <c r="F89" s="3" t="str">
        <f>VLOOKUP(E89, Ref_GLAccount!$A$2:$D$9, 2, FALSE)</f>
        <v>IT Software &amp; Subscriptions</v>
      </c>
      <c r="G89" s="3" t="str">
        <f>VLOOKUP(E89, Ref_GLAccount!$A$2:$D$9, 3, FALSE)</f>
        <v>IT</v>
      </c>
      <c r="H89" s="6" t="s">
        <v>70</v>
      </c>
      <c r="I89" s="7">
        <v>12480</v>
      </c>
      <c r="J89" s="18" t="b">
        <f>IF(tblFactFinance[[#This Row],[MonthStart]] &lt;= Inputs!$B$1, TRUE, FALSE)</f>
        <v>1</v>
      </c>
    </row>
    <row r="90" spans="1:10" x14ac:dyDescent="0.3">
      <c r="A90" s="15">
        <v>45689</v>
      </c>
      <c r="B90" s="17" t="s">
        <v>55</v>
      </c>
      <c r="C90" s="3" t="s">
        <v>1</v>
      </c>
      <c r="D90" s="3" t="str">
        <f>VLOOKUP(C90, Ref_Department!$A$2:$D$6, 2, FALSE)</f>
        <v>Branch Operations</v>
      </c>
      <c r="E90" s="3" t="s">
        <v>9</v>
      </c>
      <c r="F90" s="3" t="str">
        <f>VLOOKUP(E90, Ref_GLAccount!$A$2:$D$9, 2, FALSE)</f>
        <v>Marketing &amp; Advertising</v>
      </c>
      <c r="G90" s="3" t="str">
        <f>VLOOKUP(E90, Ref_GLAccount!$A$2:$D$9, 3, FALSE)</f>
        <v>Marketing</v>
      </c>
      <c r="H90" s="6" t="s">
        <v>66</v>
      </c>
      <c r="I90" s="7">
        <v>4266.2299999999996</v>
      </c>
      <c r="J90" s="18" t="b">
        <f>IF(tblFactFinance[[#This Row],[MonthStart]] &lt;= Inputs!$B$1, TRUE, FALSE)</f>
        <v>1</v>
      </c>
    </row>
    <row r="91" spans="1:10" x14ac:dyDescent="0.3">
      <c r="A91" s="15">
        <v>45689</v>
      </c>
      <c r="B91" s="17" t="s">
        <v>55</v>
      </c>
      <c r="C91" s="3" t="s">
        <v>1</v>
      </c>
      <c r="D91" s="3" t="str">
        <f>VLOOKUP(C91, Ref_Department!$A$2:$D$6, 2, FALSE)</f>
        <v>Branch Operations</v>
      </c>
      <c r="E91" s="3" t="s">
        <v>9</v>
      </c>
      <c r="F91" s="3" t="str">
        <f>VLOOKUP(E91, Ref_GLAccount!$A$2:$D$9, 2, FALSE)</f>
        <v>Marketing &amp; Advertising</v>
      </c>
      <c r="G91" s="3" t="str">
        <f>VLOOKUP(E91, Ref_GLAccount!$A$2:$D$9, 3, FALSE)</f>
        <v>Marketing</v>
      </c>
      <c r="H91" s="6" t="s">
        <v>70</v>
      </c>
      <c r="I91" s="7">
        <v>4160</v>
      </c>
      <c r="J91" s="18" t="b">
        <f>IF(tblFactFinance[[#This Row],[MonthStart]] &lt;= Inputs!$B$1, TRUE, FALSE)</f>
        <v>1</v>
      </c>
    </row>
    <row r="92" spans="1:10" x14ac:dyDescent="0.3">
      <c r="A92" s="15">
        <v>45689</v>
      </c>
      <c r="B92" s="17" t="s">
        <v>55</v>
      </c>
      <c r="C92" s="3" t="s">
        <v>1</v>
      </c>
      <c r="D92" s="3" t="str">
        <f>VLOOKUP(C92, Ref_Department!$A$2:$D$6, 2, FALSE)</f>
        <v>Branch Operations</v>
      </c>
      <c r="E92" s="3" t="s">
        <v>10</v>
      </c>
      <c r="F92" s="3" t="str">
        <f>VLOOKUP(E92, Ref_GLAccount!$A$2:$D$9, 2, FALSE)</f>
        <v>Professional Services</v>
      </c>
      <c r="G92" s="3" t="str">
        <f>VLOOKUP(E92, Ref_GLAccount!$A$2:$D$9, 3, FALSE)</f>
        <v>Professional Services</v>
      </c>
      <c r="H92" s="6" t="s">
        <v>66</v>
      </c>
      <c r="I92" s="7">
        <v>5272.78</v>
      </c>
      <c r="J92" s="18" t="b">
        <f>IF(tblFactFinance[[#This Row],[MonthStart]] &lt;= Inputs!$B$1, TRUE, FALSE)</f>
        <v>1</v>
      </c>
    </row>
    <row r="93" spans="1:10" x14ac:dyDescent="0.3">
      <c r="A93" s="15">
        <v>45689</v>
      </c>
      <c r="B93" s="17" t="s">
        <v>55</v>
      </c>
      <c r="C93" s="3" t="s">
        <v>1</v>
      </c>
      <c r="D93" s="3" t="str">
        <f>VLOOKUP(C93, Ref_Department!$A$2:$D$6, 2, FALSE)</f>
        <v>Branch Operations</v>
      </c>
      <c r="E93" s="3" t="s">
        <v>10</v>
      </c>
      <c r="F93" s="3" t="str">
        <f>VLOOKUP(E93, Ref_GLAccount!$A$2:$D$9, 2, FALSE)</f>
        <v>Professional Services</v>
      </c>
      <c r="G93" s="3" t="str">
        <f>VLOOKUP(E93, Ref_GLAccount!$A$2:$D$9, 3, FALSE)</f>
        <v>Professional Services</v>
      </c>
      <c r="H93" s="6" t="s">
        <v>70</v>
      </c>
      <c r="I93" s="7">
        <v>5200</v>
      </c>
      <c r="J93" s="18" t="b">
        <f>IF(tblFactFinance[[#This Row],[MonthStart]] &lt;= Inputs!$B$1, TRUE, FALSE)</f>
        <v>1</v>
      </c>
    </row>
    <row r="94" spans="1:10" x14ac:dyDescent="0.3">
      <c r="A94" s="15">
        <v>45689</v>
      </c>
      <c r="B94" s="17" t="s">
        <v>55</v>
      </c>
      <c r="C94" s="3" t="s">
        <v>1</v>
      </c>
      <c r="D94" s="3" t="str">
        <f>VLOOKUP(C94, Ref_Department!$A$2:$D$6, 2, FALSE)</f>
        <v>Branch Operations</v>
      </c>
      <c r="E94" s="3" t="s">
        <v>11</v>
      </c>
      <c r="F94" s="3" t="str">
        <f>VLOOKUP(E94, Ref_GLAccount!$A$2:$D$9, 2, FALSE)</f>
        <v>Office Supplies</v>
      </c>
      <c r="G94" s="3" t="str">
        <f>VLOOKUP(E94, Ref_GLAccount!$A$2:$D$9, 3, FALSE)</f>
        <v>Other OPEX</v>
      </c>
      <c r="H94" s="6" t="s">
        <v>66</v>
      </c>
      <c r="I94" s="7">
        <v>1600.56</v>
      </c>
      <c r="J94" s="18" t="b">
        <f>IF(tblFactFinance[[#This Row],[MonthStart]] &lt;= Inputs!$B$1, TRUE, FALSE)</f>
        <v>1</v>
      </c>
    </row>
    <row r="95" spans="1:10" x14ac:dyDescent="0.3">
      <c r="A95" s="15">
        <v>45689</v>
      </c>
      <c r="B95" s="17" t="s">
        <v>55</v>
      </c>
      <c r="C95" s="3" t="s">
        <v>1</v>
      </c>
      <c r="D95" s="3" t="str">
        <f>VLOOKUP(C95, Ref_Department!$A$2:$D$6, 2, FALSE)</f>
        <v>Branch Operations</v>
      </c>
      <c r="E95" s="3" t="s">
        <v>11</v>
      </c>
      <c r="F95" s="3" t="str">
        <f>VLOOKUP(E95, Ref_GLAccount!$A$2:$D$9, 2, FALSE)</f>
        <v>Office Supplies</v>
      </c>
      <c r="G95" s="3" t="str">
        <f>VLOOKUP(E95, Ref_GLAccount!$A$2:$D$9, 3, FALSE)</f>
        <v>Other OPEX</v>
      </c>
      <c r="H95" s="6" t="s">
        <v>70</v>
      </c>
      <c r="I95" s="7">
        <v>1560</v>
      </c>
      <c r="J95" s="18" t="b">
        <f>IF(tblFactFinance[[#This Row],[MonthStart]] &lt;= Inputs!$B$1, TRUE, FALSE)</f>
        <v>1</v>
      </c>
    </row>
    <row r="96" spans="1:10" x14ac:dyDescent="0.3">
      <c r="A96" s="15">
        <v>45689</v>
      </c>
      <c r="B96" s="17" t="s">
        <v>55</v>
      </c>
      <c r="C96" s="3" t="s">
        <v>1</v>
      </c>
      <c r="D96" s="3" t="str">
        <f>VLOOKUP(C96, Ref_Department!$A$2:$D$6, 2, FALSE)</f>
        <v>Branch Operations</v>
      </c>
      <c r="E96" s="3" t="s">
        <v>12</v>
      </c>
      <c r="F96" s="3" t="str">
        <f>VLOOKUP(E96, Ref_GLAccount!$A$2:$D$9, 2, FALSE)</f>
        <v>Training &amp; Development</v>
      </c>
      <c r="G96" s="3" t="str">
        <f>VLOOKUP(E96, Ref_GLAccount!$A$2:$D$9, 3, FALSE)</f>
        <v>Other OPEX</v>
      </c>
      <c r="H96" s="6" t="s">
        <v>66</v>
      </c>
      <c r="I96" s="7">
        <v>1271.8900000000001</v>
      </c>
      <c r="J96" s="18" t="b">
        <f>IF(tblFactFinance[[#This Row],[MonthStart]] &lt;= Inputs!$B$1, TRUE, FALSE)</f>
        <v>1</v>
      </c>
    </row>
    <row r="97" spans="1:10" x14ac:dyDescent="0.3">
      <c r="A97" s="15">
        <v>45689</v>
      </c>
      <c r="B97" s="17" t="s">
        <v>55</v>
      </c>
      <c r="C97" s="3" t="s">
        <v>1</v>
      </c>
      <c r="D97" s="3" t="str">
        <f>VLOOKUP(C97, Ref_Department!$A$2:$D$6, 2, FALSE)</f>
        <v>Branch Operations</v>
      </c>
      <c r="E97" s="3" t="s">
        <v>12</v>
      </c>
      <c r="F97" s="3" t="str">
        <f>VLOOKUP(E97, Ref_GLAccount!$A$2:$D$9, 2, FALSE)</f>
        <v>Training &amp; Development</v>
      </c>
      <c r="G97" s="3" t="str">
        <f>VLOOKUP(E97, Ref_GLAccount!$A$2:$D$9, 3, FALSE)</f>
        <v>Other OPEX</v>
      </c>
      <c r="H97" s="6" t="s">
        <v>70</v>
      </c>
      <c r="I97" s="7">
        <v>1248</v>
      </c>
      <c r="J97" s="18" t="b">
        <f>IF(tblFactFinance[[#This Row],[MonthStart]] &lt;= Inputs!$B$1, TRUE, FALSE)</f>
        <v>1</v>
      </c>
    </row>
    <row r="98" spans="1:10" x14ac:dyDescent="0.3">
      <c r="A98" s="15">
        <v>45689</v>
      </c>
      <c r="B98" s="17" t="s">
        <v>55</v>
      </c>
      <c r="C98" s="3" t="s">
        <v>2</v>
      </c>
      <c r="D98" s="3" t="str">
        <f>VLOOKUP(C98, Ref_Department!$A$2:$D$6, 2, FALSE)</f>
        <v>Lending</v>
      </c>
      <c r="E98" s="3" t="s">
        <v>33</v>
      </c>
      <c r="F98" s="3" t="str">
        <f>VLOOKUP(E98, Ref_GLAccount!$A$2:$D$9, 2, FALSE)</f>
        <v>Salaries</v>
      </c>
      <c r="G98" s="3" t="str">
        <f>VLOOKUP(E98, Ref_GLAccount!$A$2:$D$9, 3, FALSE)</f>
        <v>Personnel</v>
      </c>
      <c r="H98" s="6" t="s">
        <v>66</v>
      </c>
      <c r="I98" s="7">
        <v>168700.26</v>
      </c>
      <c r="J98" s="18" t="b">
        <f>IF(tblFactFinance[[#This Row],[MonthStart]] &lt;= Inputs!$B$1, TRUE, FALSE)</f>
        <v>1</v>
      </c>
    </row>
    <row r="99" spans="1:10" x14ac:dyDescent="0.3">
      <c r="A99" s="15">
        <v>45689</v>
      </c>
      <c r="B99" s="17" t="s">
        <v>55</v>
      </c>
      <c r="C99" s="3" t="s">
        <v>2</v>
      </c>
      <c r="D99" s="3" t="str">
        <f>VLOOKUP(C99, Ref_Department!$A$2:$D$6, 2, FALSE)</f>
        <v>Lending</v>
      </c>
      <c r="E99" s="3" t="s">
        <v>33</v>
      </c>
      <c r="F99" s="3" t="str">
        <f>VLOOKUP(E99, Ref_GLAccount!$A$2:$D$9, 2, FALSE)</f>
        <v>Salaries</v>
      </c>
      <c r="G99" s="3" t="str">
        <f>VLOOKUP(E99, Ref_GLAccount!$A$2:$D$9, 3, FALSE)</f>
        <v>Personnel</v>
      </c>
      <c r="H99" s="6" t="s">
        <v>70</v>
      </c>
      <c r="I99" s="7">
        <v>173040</v>
      </c>
      <c r="J99" s="18" t="b">
        <f>IF(tblFactFinance[[#This Row],[MonthStart]] &lt;= Inputs!$B$1, TRUE, FALSE)</f>
        <v>1</v>
      </c>
    </row>
    <row r="100" spans="1:10" x14ac:dyDescent="0.3">
      <c r="A100" s="15">
        <v>45689</v>
      </c>
      <c r="B100" s="17" t="s">
        <v>55</v>
      </c>
      <c r="C100" s="3" t="s">
        <v>2</v>
      </c>
      <c r="D100" s="3" t="str">
        <f>VLOOKUP(C100, Ref_Department!$A$2:$D$6, 2, FALSE)</f>
        <v>Lending</v>
      </c>
      <c r="E100" s="3" t="s">
        <v>37</v>
      </c>
      <c r="F100" s="3" t="str">
        <f>VLOOKUP(E100, Ref_GLAccount!$A$2:$D$9, 2, FALSE)</f>
        <v>Benefits</v>
      </c>
      <c r="G100" s="3" t="str">
        <f>VLOOKUP(E100, Ref_GLAccount!$A$2:$D$9, 3, FALSE)</f>
        <v>Personnel</v>
      </c>
      <c r="H100" s="6" t="s">
        <v>66</v>
      </c>
      <c r="I100" s="7">
        <v>36976.42</v>
      </c>
      <c r="J100" s="18" t="b">
        <f>IF(tblFactFinance[[#This Row],[MonthStart]] &lt;= Inputs!$B$1, TRUE, FALSE)</f>
        <v>1</v>
      </c>
    </row>
    <row r="101" spans="1:10" x14ac:dyDescent="0.3">
      <c r="A101" s="15">
        <v>45689</v>
      </c>
      <c r="B101" s="17" t="s">
        <v>55</v>
      </c>
      <c r="C101" s="3" t="s">
        <v>2</v>
      </c>
      <c r="D101" s="3" t="str">
        <f>VLOOKUP(C101, Ref_Department!$A$2:$D$6, 2, FALSE)</f>
        <v>Lending</v>
      </c>
      <c r="E101" s="3" t="s">
        <v>37</v>
      </c>
      <c r="F101" s="3" t="str">
        <f>VLOOKUP(E101, Ref_GLAccount!$A$2:$D$9, 2, FALSE)</f>
        <v>Benefits</v>
      </c>
      <c r="G101" s="3" t="str">
        <f>VLOOKUP(E101, Ref_GLAccount!$A$2:$D$9, 3, FALSE)</f>
        <v>Personnel</v>
      </c>
      <c r="H101" s="6" t="s">
        <v>70</v>
      </c>
      <c r="I101" s="7">
        <v>38068.800000000003</v>
      </c>
      <c r="J101" s="18" t="b">
        <f>IF(tblFactFinance[[#This Row],[MonthStart]] &lt;= Inputs!$B$1, TRUE, FALSE)</f>
        <v>1</v>
      </c>
    </row>
    <row r="102" spans="1:10" x14ac:dyDescent="0.3">
      <c r="A102" s="15">
        <v>45689</v>
      </c>
      <c r="B102" s="17" t="s">
        <v>55</v>
      </c>
      <c r="C102" s="3" t="s">
        <v>2</v>
      </c>
      <c r="D102" s="3" t="str">
        <f>VLOOKUP(C102, Ref_Department!$A$2:$D$6, 2, FALSE)</f>
        <v>Lending</v>
      </c>
      <c r="E102" s="3" t="s">
        <v>7</v>
      </c>
      <c r="F102" s="3" t="str">
        <f>VLOOKUP(E102, Ref_GLAccount!$A$2:$D$9, 2, FALSE)</f>
        <v>Occupancy &amp; Facilities</v>
      </c>
      <c r="G102" s="3" t="str">
        <f>VLOOKUP(E102, Ref_GLAccount!$A$2:$D$9, 3, FALSE)</f>
        <v>Facilities</v>
      </c>
      <c r="H102" s="6" t="s">
        <v>66</v>
      </c>
      <c r="I102" s="7">
        <v>16641.169999999998</v>
      </c>
      <c r="J102" s="18" t="b">
        <f>IF(tblFactFinance[[#This Row],[MonthStart]] &lt;= Inputs!$B$1, TRUE, FALSE)</f>
        <v>1</v>
      </c>
    </row>
    <row r="103" spans="1:10" x14ac:dyDescent="0.3">
      <c r="A103" s="15">
        <v>45689</v>
      </c>
      <c r="B103" s="17" t="s">
        <v>55</v>
      </c>
      <c r="C103" s="3" t="s">
        <v>2</v>
      </c>
      <c r="D103" s="3" t="str">
        <f>VLOOKUP(C103, Ref_Department!$A$2:$D$6, 2, FALSE)</f>
        <v>Lending</v>
      </c>
      <c r="E103" s="3" t="s">
        <v>7</v>
      </c>
      <c r="F103" s="3" t="str">
        <f>VLOOKUP(E103, Ref_GLAccount!$A$2:$D$9, 2, FALSE)</f>
        <v>Occupancy &amp; Facilities</v>
      </c>
      <c r="G103" s="3" t="str">
        <f>VLOOKUP(E103, Ref_GLAccount!$A$2:$D$9, 3, FALSE)</f>
        <v>Facilities</v>
      </c>
      <c r="H103" s="6" t="s">
        <v>70</v>
      </c>
      <c r="I103" s="7">
        <v>16000</v>
      </c>
      <c r="J103" s="18" t="b">
        <f>IF(tblFactFinance[[#This Row],[MonthStart]] &lt;= Inputs!$B$1, TRUE, FALSE)</f>
        <v>1</v>
      </c>
    </row>
    <row r="104" spans="1:10" x14ac:dyDescent="0.3">
      <c r="A104" s="15">
        <v>45689</v>
      </c>
      <c r="B104" s="17" t="s">
        <v>55</v>
      </c>
      <c r="C104" s="3" t="s">
        <v>2</v>
      </c>
      <c r="D104" s="3" t="str">
        <f>VLOOKUP(C104, Ref_Department!$A$2:$D$6, 2, FALSE)</f>
        <v>Lending</v>
      </c>
      <c r="E104" s="3" t="s">
        <v>8</v>
      </c>
      <c r="F104" s="3" t="str">
        <f>VLOOKUP(E104, Ref_GLAccount!$A$2:$D$9, 2, FALSE)</f>
        <v>IT Software &amp; Subscriptions</v>
      </c>
      <c r="G104" s="3" t="str">
        <f>VLOOKUP(E104, Ref_GLAccount!$A$2:$D$9, 3, FALSE)</f>
        <v>IT</v>
      </c>
      <c r="H104" s="6" t="s">
        <v>66</v>
      </c>
      <c r="I104" s="7">
        <v>9546.9500000000007</v>
      </c>
      <c r="J104" s="18" t="b">
        <f>IF(tblFactFinance[[#This Row],[MonthStart]] &lt;= Inputs!$B$1, TRUE, FALSE)</f>
        <v>1</v>
      </c>
    </row>
    <row r="105" spans="1:10" x14ac:dyDescent="0.3">
      <c r="A105" s="15">
        <v>45689</v>
      </c>
      <c r="B105" s="17" t="s">
        <v>55</v>
      </c>
      <c r="C105" s="3" t="s">
        <v>2</v>
      </c>
      <c r="D105" s="3" t="str">
        <f>VLOOKUP(C105, Ref_Department!$A$2:$D$6, 2, FALSE)</f>
        <v>Lending</v>
      </c>
      <c r="E105" s="3" t="s">
        <v>8</v>
      </c>
      <c r="F105" s="3" t="str">
        <f>VLOOKUP(E105, Ref_GLAccount!$A$2:$D$9, 2, FALSE)</f>
        <v>IT Software &amp; Subscriptions</v>
      </c>
      <c r="G105" s="3" t="str">
        <f>VLOOKUP(E105, Ref_GLAccount!$A$2:$D$9, 3, FALSE)</f>
        <v>IT</v>
      </c>
      <c r="H105" s="6" t="s">
        <v>70</v>
      </c>
      <c r="I105" s="7">
        <v>9360</v>
      </c>
      <c r="J105" s="18" t="b">
        <f>IF(tblFactFinance[[#This Row],[MonthStart]] &lt;= Inputs!$B$1, TRUE, FALSE)</f>
        <v>1</v>
      </c>
    </row>
    <row r="106" spans="1:10" x14ac:dyDescent="0.3">
      <c r="A106" s="15">
        <v>45689</v>
      </c>
      <c r="B106" s="17" t="s">
        <v>55</v>
      </c>
      <c r="C106" s="3" t="s">
        <v>2</v>
      </c>
      <c r="D106" s="3" t="str">
        <f>VLOOKUP(C106, Ref_Department!$A$2:$D$6, 2, FALSE)</f>
        <v>Lending</v>
      </c>
      <c r="E106" s="3" t="s">
        <v>9</v>
      </c>
      <c r="F106" s="3" t="str">
        <f>VLOOKUP(E106, Ref_GLAccount!$A$2:$D$9, 2, FALSE)</f>
        <v>Marketing &amp; Advertising</v>
      </c>
      <c r="G106" s="3" t="str">
        <f>VLOOKUP(E106, Ref_GLAccount!$A$2:$D$9, 3, FALSE)</f>
        <v>Marketing</v>
      </c>
      <c r="H106" s="6" t="s">
        <v>66</v>
      </c>
      <c r="I106" s="7">
        <v>6177.57</v>
      </c>
      <c r="J106" s="18" t="b">
        <f>IF(tblFactFinance[[#This Row],[MonthStart]] &lt;= Inputs!$B$1, TRUE, FALSE)</f>
        <v>1</v>
      </c>
    </row>
    <row r="107" spans="1:10" x14ac:dyDescent="0.3">
      <c r="A107" s="15">
        <v>45689</v>
      </c>
      <c r="B107" s="17" t="s">
        <v>55</v>
      </c>
      <c r="C107" s="3" t="s">
        <v>2</v>
      </c>
      <c r="D107" s="3" t="str">
        <f>VLOOKUP(C107, Ref_Department!$A$2:$D$6, 2, FALSE)</f>
        <v>Lending</v>
      </c>
      <c r="E107" s="3" t="s">
        <v>9</v>
      </c>
      <c r="F107" s="3" t="str">
        <f>VLOOKUP(E107, Ref_GLAccount!$A$2:$D$9, 2, FALSE)</f>
        <v>Marketing &amp; Advertising</v>
      </c>
      <c r="G107" s="3" t="str">
        <f>VLOOKUP(E107, Ref_GLAccount!$A$2:$D$9, 3, FALSE)</f>
        <v>Marketing</v>
      </c>
      <c r="H107" s="6" t="s">
        <v>70</v>
      </c>
      <c r="I107" s="7">
        <v>6240</v>
      </c>
      <c r="J107" s="18" t="b">
        <f>IF(tblFactFinance[[#This Row],[MonthStart]] &lt;= Inputs!$B$1, TRUE, FALSE)</f>
        <v>1</v>
      </c>
    </row>
    <row r="108" spans="1:10" x14ac:dyDescent="0.3">
      <c r="A108" s="15">
        <v>45689</v>
      </c>
      <c r="B108" s="17" t="s">
        <v>55</v>
      </c>
      <c r="C108" s="3" t="s">
        <v>2</v>
      </c>
      <c r="D108" s="3" t="str">
        <f>VLOOKUP(C108, Ref_Department!$A$2:$D$6, 2, FALSE)</f>
        <v>Lending</v>
      </c>
      <c r="E108" s="3" t="s">
        <v>10</v>
      </c>
      <c r="F108" s="3" t="str">
        <f>VLOOKUP(E108, Ref_GLAccount!$A$2:$D$9, 2, FALSE)</f>
        <v>Professional Services</v>
      </c>
      <c r="G108" s="3" t="str">
        <f>VLOOKUP(E108, Ref_GLAccount!$A$2:$D$9, 3, FALSE)</f>
        <v>Professional Services</v>
      </c>
      <c r="H108" s="6" t="s">
        <v>66</v>
      </c>
      <c r="I108" s="7">
        <v>9097.34</v>
      </c>
      <c r="J108" s="18" t="b">
        <f>IF(tblFactFinance[[#This Row],[MonthStart]] &lt;= Inputs!$B$1, TRUE, FALSE)</f>
        <v>1</v>
      </c>
    </row>
    <row r="109" spans="1:10" x14ac:dyDescent="0.3">
      <c r="A109" s="15">
        <v>45689</v>
      </c>
      <c r="B109" s="17" t="s">
        <v>55</v>
      </c>
      <c r="C109" s="3" t="s">
        <v>2</v>
      </c>
      <c r="D109" s="3" t="str">
        <f>VLOOKUP(C109, Ref_Department!$A$2:$D$6, 2, FALSE)</f>
        <v>Lending</v>
      </c>
      <c r="E109" s="3" t="s">
        <v>10</v>
      </c>
      <c r="F109" s="3" t="str">
        <f>VLOOKUP(E109, Ref_GLAccount!$A$2:$D$9, 2, FALSE)</f>
        <v>Professional Services</v>
      </c>
      <c r="G109" s="3" t="str">
        <f>VLOOKUP(E109, Ref_GLAccount!$A$2:$D$9, 3, FALSE)</f>
        <v>Professional Services</v>
      </c>
      <c r="H109" s="6" t="s">
        <v>70</v>
      </c>
      <c r="I109" s="7">
        <v>8320</v>
      </c>
      <c r="J109" s="18" t="b">
        <f>IF(tblFactFinance[[#This Row],[MonthStart]] &lt;= Inputs!$B$1, TRUE, FALSE)</f>
        <v>1</v>
      </c>
    </row>
    <row r="110" spans="1:10" x14ac:dyDescent="0.3">
      <c r="A110" s="15">
        <v>45689</v>
      </c>
      <c r="B110" s="17" t="s">
        <v>55</v>
      </c>
      <c r="C110" s="3" t="s">
        <v>2</v>
      </c>
      <c r="D110" s="3" t="str">
        <f>VLOOKUP(C110, Ref_Department!$A$2:$D$6, 2, FALSE)</f>
        <v>Lending</v>
      </c>
      <c r="E110" s="3" t="s">
        <v>11</v>
      </c>
      <c r="F110" s="3" t="str">
        <f>VLOOKUP(E110, Ref_GLAccount!$A$2:$D$9, 2, FALSE)</f>
        <v>Office Supplies</v>
      </c>
      <c r="G110" s="3" t="str">
        <f>VLOOKUP(E110, Ref_GLAccount!$A$2:$D$9, 3, FALSE)</f>
        <v>Other OPEX</v>
      </c>
      <c r="H110" s="6" t="s">
        <v>66</v>
      </c>
      <c r="I110" s="7">
        <v>905.33</v>
      </c>
      <c r="J110" s="18" t="b">
        <f>IF(tblFactFinance[[#This Row],[MonthStart]] &lt;= Inputs!$B$1, TRUE, FALSE)</f>
        <v>1</v>
      </c>
    </row>
    <row r="111" spans="1:10" x14ac:dyDescent="0.3">
      <c r="A111" s="15">
        <v>45689</v>
      </c>
      <c r="B111" s="17" t="s">
        <v>55</v>
      </c>
      <c r="C111" s="3" t="s">
        <v>2</v>
      </c>
      <c r="D111" s="3" t="str">
        <f>VLOOKUP(C111, Ref_Department!$A$2:$D$6, 2, FALSE)</f>
        <v>Lending</v>
      </c>
      <c r="E111" s="3" t="s">
        <v>11</v>
      </c>
      <c r="F111" s="3" t="str">
        <f>VLOOKUP(E111, Ref_GLAccount!$A$2:$D$9, 2, FALSE)</f>
        <v>Office Supplies</v>
      </c>
      <c r="G111" s="3" t="str">
        <f>VLOOKUP(E111, Ref_GLAccount!$A$2:$D$9, 3, FALSE)</f>
        <v>Other OPEX</v>
      </c>
      <c r="H111" s="6" t="s">
        <v>70</v>
      </c>
      <c r="I111" s="7">
        <v>936</v>
      </c>
      <c r="J111" s="18" t="b">
        <f>IF(tblFactFinance[[#This Row],[MonthStart]] &lt;= Inputs!$B$1, TRUE, FALSE)</f>
        <v>1</v>
      </c>
    </row>
    <row r="112" spans="1:10" x14ac:dyDescent="0.3">
      <c r="A112" s="15">
        <v>45689</v>
      </c>
      <c r="B112" s="17" t="s">
        <v>55</v>
      </c>
      <c r="C112" s="3" t="s">
        <v>2</v>
      </c>
      <c r="D112" s="3" t="str">
        <f>VLOOKUP(C112, Ref_Department!$A$2:$D$6, 2, FALSE)</f>
        <v>Lending</v>
      </c>
      <c r="E112" s="3" t="s">
        <v>12</v>
      </c>
      <c r="F112" s="3" t="str">
        <f>VLOOKUP(E112, Ref_GLAccount!$A$2:$D$9, 2, FALSE)</f>
        <v>Training &amp; Development</v>
      </c>
      <c r="G112" s="3" t="str">
        <f>VLOOKUP(E112, Ref_GLAccount!$A$2:$D$9, 3, FALSE)</f>
        <v>Other OPEX</v>
      </c>
      <c r="H112" s="6" t="s">
        <v>66</v>
      </c>
      <c r="I112" s="7">
        <v>1392</v>
      </c>
      <c r="J112" s="18" t="b">
        <f>IF(tblFactFinance[[#This Row],[MonthStart]] &lt;= Inputs!$B$1, TRUE, FALSE)</f>
        <v>1</v>
      </c>
    </row>
    <row r="113" spans="1:10" x14ac:dyDescent="0.3">
      <c r="A113" s="15">
        <v>45689</v>
      </c>
      <c r="B113" s="17" t="s">
        <v>55</v>
      </c>
      <c r="C113" s="3" t="s">
        <v>2</v>
      </c>
      <c r="D113" s="3" t="str">
        <f>VLOOKUP(C113, Ref_Department!$A$2:$D$6, 2, FALSE)</f>
        <v>Lending</v>
      </c>
      <c r="E113" s="3" t="s">
        <v>12</v>
      </c>
      <c r="F113" s="3" t="str">
        <f>VLOOKUP(E113, Ref_GLAccount!$A$2:$D$9, 2, FALSE)</f>
        <v>Training &amp; Development</v>
      </c>
      <c r="G113" s="3" t="str">
        <f>VLOOKUP(E113, Ref_GLAccount!$A$2:$D$9, 3, FALSE)</f>
        <v>Other OPEX</v>
      </c>
      <c r="H113" s="6" t="s">
        <v>70</v>
      </c>
      <c r="I113" s="7">
        <v>1456</v>
      </c>
      <c r="J113" s="18" t="b">
        <f>IF(tblFactFinance[[#This Row],[MonthStart]] &lt;= Inputs!$B$1, TRUE, FALSE)</f>
        <v>1</v>
      </c>
    </row>
    <row r="114" spans="1:10" x14ac:dyDescent="0.3">
      <c r="A114" s="15">
        <v>45689</v>
      </c>
      <c r="B114" s="17" t="s">
        <v>55</v>
      </c>
      <c r="C114" s="3" t="s">
        <v>3</v>
      </c>
      <c r="D114" s="3" t="str">
        <f>VLOOKUP(C114, Ref_Department!$A$2:$D$6, 2, FALSE)</f>
        <v>Information Technology</v>
      </c>
      <c r="E114" s="3" t="s">
        <v>33</v>
      </c>
      <c r="F114" s="3" t="str">
        <f>VLOOKUP(E114, Ref_GLAccount!$A$2:$D$9, 2, FALSE)</f>
        <v>Salaries</v>
      </c>
      <c r="G114" s="3" t="str">
        <f>VLOOKUP(E114, Ref_GLAccount!$A$2:$D$9, 3, FALSE)</f>
        <v>Personnel</v>
      </c>
      <c r="H114" s="6" t="s">
        <v>66</v>
      </c>
      <c r="I114" s="7">
        <v>156064.18</v>
      </c>
      <c r="J114" s="18" t="b">
        <f>IF(tblFactFinance[[#This Row],[MonthStart]] &lt;= Inputs!$B$1, TRUE, FALSE)</f>
        <v>1</v>
      </c>
    </row>
    <row r="115" spans="1:10" x14ac:dyDescent="0.3">
      <c r="A115" s="15">
        <v>45689</v>
      </c>
      <c r="B115" s="17" t="s">
        <v>55</v>
      </c>
      <c r="C115" s="3" t="s">
        <v>3</v>
      </c>
      <c r="D115" s="3" t="str">
        <f>VLOOKUP(C115, Ref_Department!$A$2:$D$6, 2, FALSE)</f>
        <v>Information Technology</v>
      </c>
      <c r="E115" s="3" t="s">
        <v>33</v>
      </c>
      <c r="F115" s="3" t="str">
        <f>VLOOKUP(E115, Ref_GLAccount!$A$2:$D$9, 2, FALSE)</f>
        <v>Salaries</v>
      </c>
      <c r="G115" s="3" t="str">
        <f>VLOOKUP(E115, Ref_GLAccount!$A$2:$D$9, 3, FALSE)</f>
        <v>Personnel</v>
      </c>
      <c r="H115" s="6" t="s">
        <v>70</v>
      </c>
      <c r="I115" s="7">
        <v>151410</v>
      </c>
      <c r="J115" s="18" t="b">
        <f>IF(tblFactFinance[[#This Row],[MonthStart]] &lt;= Inputs!$B$1, TRUE, FALSE)</f>
        <v>1</v>
      </c>
    </row>
    <row r="116" spans="1:10" x14ac:dyDescent="0.3">
      <c r="A116" s="15">
        <v>45689</v>
      </c>
      <c r="B116" s="17" t="s">
        <v>55</v>
      </c>
      <c r="C116" s="3" t="s">
        <v>3</v>
      </c>
      <c r="D116" s="3" t="str">
        <f>VLOOKUP(C116, Ref_Department!$A$2:$D$6, 2, FALSE)</f>
        <v>Information Technology</v>
      </c>
      <c r="E116" s="3" t="s">
        <v>37</v>
      </c>
      <c r="F116" s="3" t="str">
        <f>VLOOKUP(E116, Ref_GLAccount!$A$2:$D$9, 2, FALSE)</f>
        <v>Benefits</v>
      </c>
      <c r="G116" s="3" t="str">
        <f>VLOOKUP(E116, Ref_GLAccount!$A$2:$D$9, 3, FALSE)</f>
        <v>Personnel</v>
      </c>
      <c r="H116" s="6" t="s">
        <v>66</v>
      </c>
      <c r="I116" s="7">
        <v>35204.68</v>
      </c>
      <c r="J116" s="18" t="b">
        <f>IF(tblFactFinance[[#This Row],[MonthStart]] &lt;= Inputs!$B$1, TRUE, FALSE)</f>
        <v>1</v>
      </c>
    </row>
    <row r="117" spans="1:10" x14ac:dyDescent="0.3">
      <c r="A117" s="15">
        <v>45689</v>
      </c>
      <c r="B117" s="17" t="s">
        <v>55</v>
      </c>
      <c r="C117" s="3" t="s">
        <v>3</v>
      </c>
      <c r="D117" s="3" t="str">
        <f>VLOOKUP(C117, Ref_Department!$A$2:$D$6, 2, FALSE)</f>
        <v>Information Technology</v>
      </c>
      <c r="E117" s="3" t="s">
        <v>37</v>
      </c>
      <c r="F117" s="3" t="str">
        <f>VLOOKUP(E117, Ref_GLAccount!$A$2:$D$9, 2, FALSE)</f>
        <v>Benefits</v>
      </c>
      <c r="G117" s="3" t="str">
        <f>VLOOKUP(E117, Ref_GLAccount!$A$2:$D$9, 3, FALSE)</f>
        <v>Personnel</v>
      </c>
      <c r="H117" s="6" t="s">
        <v>70</v>
      </c>
      <c r="I117" s="7">
        <v>33310.199999999997</v>
      </c>
      <c r="J117" s="18" t="b">
        <f>IF(tblFactFinance[[#This Row],[MonthStart]] &lt;= Inputs!$B$1, TRUE, FALSE)</f>
        <v>1</v>
      </c>
    </row>
    <row r="118" spans="1:10" x14ac:dyDescent="0.3">
      <c r="A118" s="15">
        <v>45689</v>
      </c>
      <c r="B118" s="17" t="s">
        <v>55</v>
      </c>
      <c r="C118" s="3" t="s">
        <v>3</v>
      </c>
      <c r="D118" s="3" t="str">
        <f>VLOOKUP(C118, Ref_Department!$A$2:$D$6, 2, FALSE)</f>
        <v>Information Technology</v>
      </c>
      <c r="E118" s="3" t="s">
        <v>7</v>
      </c>
      <c r="F118" s="3" t="str">
        <f>VLOOKUP(E118, Ref_GLAccount!$A$2:$D$9, 2, FALSE)</f>
        <v>Occupancy &amp; Facilities</v>
      </c>
      <c r="G118" s="3" t="str">
        <f>VLOOKUP(E118, Ref_GLAccount!$A$2:$D$9, 3, FALSE)</f>
        <v>Facilities</v>
      </c>
      <c r="H118" s="6" t="s">
        <v>66</v>
      </c>
      <c r="I118" s="7">
        <v>9732.9699999999993</v>
      </c>
      <c r="J118" s="18" t="b">
        <f>IF(tblFactFinance[[#This Row],[MonthStart]] &lt;= Inputs!$B$1, TRUE, FALSE)</f>
        <v>1</v>
      </c>
    </row>
    <row r="119" spans="1:10" x14ac:dyDescent="0.3">
      <c r="A119" s="15">
        <v>45689</v>
      </c>
      <c r="B119" s="17" t="s">
        <v>55</v>
      </c>
      <c r="C119" s="3" t="s">
        <v>3</v>
      </c>
      <c r="D119" s="3" t="str">
        <f>VLOOKUP(C119, Ref_Department!$A$2:$D$6, 2, FALSE)</f>
        <v>Information Technology</v>
      </c>
      <c r="E119" s="3" t="s">
        <v>7</v>
      </c>
      <c r="F119" s="3" t="str">
        <f>VLOOKUP(E119, Ref_GLAccount!$A$2:$D$9, 2, FALSE)</f>
        <v>Occupancy &amp; Facilities</v>
      </c>
      <c r="G119" s="3" t="str">
        <f>VLOOKUP(E119, Ref_GLAccount!$A$2:$D$9, 3, FALSE)</f>
        <v>Facilities</v>
      </c>
      <c r="H119" s="6" t="s">
        <v>70</v>
      </c>
      <c r="I119" s="7">
        <v>9000</v>
      </c>
      <c r="J119" s="18" t="b">
        <f>IF(tblFactFinance[[#This Row],[MonthStart]] &lt;= Inputs!$B$1, TRUE, FALSE)</f>
        <v>1</v>
      </c>
    </row>
    <row r="120" spans="1:10" x14ac:dyDescent="0.3">
      <c r="A120" s="15">
        <v>45689</v>
      </c>
      <c r="B120" s="17" t="s">
        <v>55</v>
      </c>
      <c r="C120" s="3" t="s">
        <v>3</v>
      </c>
      <c r="D120" s="3" t="str">
        <f>VLOOKUP(C120, Ref_Department!$A$2:$D$6, 2, FALSE)</f>
        <v>Information Technology</v>
      </c>
      <c r="E120" s="3" t="s">
        <v>8</v>
      </c>
      <c r="F120" s="3" t="str">
        <f>VLOOKUP(E120, Ref_GLAccount!$A$2:$D$9, 2, FALSE)</f>
        <v>IT Software &amp; Subscriptions</v>
      </c>
      <c r="G120" s="3" t="str">
        <f>VLOOKUP(E120, Ref_GLAccount!$A$2:$D$9, 3, FALSE)</f>
        <v>IT</v>
      </c>
      <c r="H120" s="6" t="s">
        <v>66</v>
      </c>
      <c r="I120" s="7">
        <v>45140.34</v>
      </c>
      <c r="J120" s="18" t="b">
        <f>IF(tblFactFinance[[#This Row],[MonthStart]] &lt;= Inputs!$B$1, TRUE, FALSE)</f>
        <v>1</v>
      </c>
    </row>
    <row r="121" spans="1:10" x14ac:dyDescent="0.3">
      <c r="A121" s="15">
        <v>45689</v>
      </c>
      <c r="B121" s="17" t="s">
        <v>55</v>
      </c>
      <c r="C121" s="3" t="s">
        <v>3</v>
      </c>
      <c r="D121" s="3" t="str">
        <f>VLOOKUP(C121, Ref_Department!$A$2:$D$6, 2, FALSE)</f>
        <v>Information Technology</v>
      </c>
      <c r="E121" s="3" t="s">
        <v>8</v>
      </c>
      <c r="F121" s="3" t="str">
        <f>VLOOKUP(E121, Ref_GLAccount!$A$2:$D$9, 2, FALSE)</f>
        <v>IT Software &amp; Subscriptions</v>
      </c>
      <c r="G121" s="3" t="str">
        <f>VLOOKUP(E121, Ref_GLAccount!$A$2:$D$9, 3, FALSE)</f>
        <v>IT</v>
      </c>
      <c r="H121" s="6" t="s">
        <v>70</v>
      </c>
      <c r="I121" s="7">
        <v>43680</v>
      </c>
      <c r="J121" s="18" t="b">
        <f>IF(tblFactFinance[[#This Row],[MonthStart]] &lt;= Inputs!$B$1, TRUE, FALSE)</f>
        <v>1</v>
      </c>
    </row>
    <row r="122" spans="1:10" x14ac:dyDescent="0.3">
      <c r="A122" s="15">
        <v>45689</v>
      </c>
      <c r="B122" s="17" t="s">
        <v>55</v>
      </c>
      <c r="C122" s="3" t="s">
        <v>3</v>
      </c>
      <c r="D122" s="3" t="str">
        <f>VLOOKUP(C122, Ref_Department!$A$2:$D$6, 2, FALSE)</f>
        <v>Information Technology</v>
      </c>
      <c r="E122" s="3" t="s">
        <v>9</v>
      </c>
      <c r="F122" s="3" t="str">
        <f>VLOOKUP(E122, Ref_GLAccount!$A$2:$D$9, 2, FALSE)</f>
        <v>Marketing &amp; Advertising</v>
      </c>
      <c r="G122" s="3" t="str">
        <f>VLOOKUP(E122, Ref_GLAccount!$A$2:$D$9, 3, FALSE)</f>
        <v>Marketing</v>
      </c>
      <c r="H122" s="6" t="s">
        <v>66</v>
      </c>
      <c r="I122" s="7">
        <v>1649</v>
      </c>
      <c r="J122" s="18" t="b">
        <f>IF(tblFactFinance[[#This Row],[MonthStart]] &lt;= Inputs!$B$1, TRUE, FALSE)</f>
        <v>1</v>
      </c>
    </row>
    <row r="123" spans="1:10" x14ac:dyDescent="0.3">
      <c r="A123" s="15">
        <v>45689</v>
      </c>
      <c r="B123" s="17" t="s">
        <v>55</v>
      </c>
      <c r="C123" s="3" t="s">
        <v>3</v>
      </c>
      <c r="D123" s="3" t="str">
        <f>VLOOKUP(C123, Ref_Department!$A$2:$D$6, 2, FALSE)</f>
        <v>Information Technology</v>
      </c>
      <c r="E123" s="3" t="s">
        <v>9</v>
      </c>
      <c r="F123" s="3" t="str">
        <f>VLOOKUP(E123, Ref_GLAccount!$A$2:$D$9, 2, FALSE)</f>
        <v>Marketing &amp; Advertising</v>
      </c>
      <c r="G123" s="3" t="str">
        <f>VLOOKUP(E123, Ref_GLAccount!$A$2:$D$9, 3, FALSE)</f>
        <v>Marketing</v>
      </c>
      <c r="H123" s="6" t="s">
        <v>70</v>
      </c>
      <c r="I123" s="7">
        <v>1560</v>
      </c>
      <c r="J123" s="18" t="b">
        <f>IF(tblFactFinance[[#This Row],[MonthStart]] &lt;= Inputs!$B$1, TRUE, FALSE)</f>
        <v>1</v>
      </c>
    </row>
    <row r="124" spans="1:10" x14ac:dyDescent="0.3">
      <c r="A124" s="15">
        <v>45689</v>
      </c>
      <c r="B124" s="17" t="s">
        <v>55</v>
      </c>
      <c r="C124" s="3" t="s">
        <v>3</v>
      </c>
      <c r="D124" s="3" t="str">
        <f>VLOOKUP(C124, Ref_Department!$A$2:$D$6, 2, FALSE)</f>
        <v>Information Technology</v>
      </c>
      <c r="E124" s="3" t="s">
        <v>10</v>
      </c>
      <c r="F124" s="3" t="str">
        <f>VLOOKUP(E124, Ref_GLAccount!$A$2:$D$9, 2, FALSE)</f>
        <v>Professional Services</v>
      </c>
      <c r="G124" s="3" t="str">
        <f>VLOOKUP(E124, Ref_GLAccount!$A$2:$D$9, 3, FALSE)</f>
        <v>Professional Services</v>
      </c>
      <c r="H124" s="6" t="s">
        <v>66</v>
      </c>
      <c r="I124" s="7">
        <v>12433.06</v>
      </c>
      <c r="J124" s="18" t="b">
        <f>IF(tblFactFinance[[#This Row],[MonthStart]] &lt;= Inputs!$B$1, TRUE, FALSE)</f>
        <v>1</v>
      </c>
    </row>
    <row r="125" spans="1:10" x14ac:dyDescent="0.3">
      <c r="A125" s="15">
        <v>45689</v>
      </c>
      <c r="B125" s="17" t="s">
        <v>55</v>
      </c>
      <c r="C125" s="3" t="s">
        <v>3</v>
      </c>
      <c r="D125" s="3" t="str">
        <f>VLOOKUP(C125, Ref_Department!$A$2:$D$6, 2, FALSE)</f>
        <v>Information Technology</v>
      </c>
      <c r="E125" s="3" t="s">
        <v>10</v>
      </c>
      <c r="F125" s="3" t="str">
        <f>VLOOKUP(E125, Ref_GLAccount!$A$2:$D$9, 2, FALSE)</f>
        <v>Professional Services</v>
      </c>
      <c r="G125" s="3" t="str">
        <f>VLOOKUP(E125, Ref_GLAccount!$A$2:$D$9, 3, FALSE)</f>
        <v>Professional Services</v>
      </c>
      <c r="H125" s="6" t="s">
        <v>70</v>
      </c>
      <c r="I125" s="7">
        <v>12480</v>
      </c>
      <c r="J125" s="18" t="b">
        <f>IF(tblFactFinance[[#This Row],[MonthStart]] &lt;= Inputs!$B$1, TRUE, FALSE)</f>
        <v>1</v>
      </c>
    </row>
    <row r="126" spans="1:10" x14ac:dyDescent="0.3">
      <c r="A126" s="15">
        <v>45689</v>
      </c>
      <c r="B126" s="17" t="s">
        <v>55</v>
      </c>
      <c r="C126" s="3" t="s">
        <v>3</v>
      </c>
      <c r="D126" s="3" t="str">
        <f>VLOOKUP(C126, Ref_Department!$A$2:$D$6, 2, FALSE)</f>
        <v>Information Technology</v>
      </c>
      <c r="E126" s="3" t="s">
        <v>11</v>
      </c>
      <c r="F126" s="3" t="str">
        <f>VLOOKUP(E126, Ref_GLAccount!$A$2:$D$9, 2, FALSE)</f>
        <v>Office Supplies</v>
      </c>
      <c r="G126" s="3" t="str">
        <f>VLOOKUP(E126, Ref_GLAccount!$A$2:$D$9, 3, FALSE)</f>
        <v>Other OPEX</v>
      </c>
      <c r="H126" s="6" t="s">
        <v>66</v>
      </c>
      <c r="I126" s="7">
        <v>784.64</v>
      </c>
      <c r="J126" s="18" t="b">
        <f>IF(tblFactFinance[[#This Row],[MonthStart]] &lt;= Inputs!$B$1, TRUE, FALSE)</f>
        <v>1</v>
      </c>
    </row>
    <row r="127" spans="1:10" x14ac:dyDescent="0.3">
      <c r="A127" s="15">
        <v>45689</v>
      </c>
      <c r="B127" s="17" t="s">
        <v>55</v>
      </c>
      <c r="C127" s="3" t="s">
        <v>3</v>
      </c>
      <c r="D127" s="3" t="str">
        <f>VLOOKUP(C127, Ref_Department!$A$2:$D$6, 2, FALSE)</f>
        <v>Information Technology</v>
      </c>
      <c r="E127" s="3" t="s">
        <v>11</v>
      </c>
      <c r="F127" s="3" t="str">
        <f>VLOOKUP(E127, Ref_GLAccount!$A$2:$D$9, 2, FALSE)</f>
        <v>Office Supplies</v>
      </c>
      <c r="G127" s="3" t="str">
        <f>VLOOKUP(E127, Ref_GLAccount!$A$2:$D$9, 3, FALSE)</f>
        <v>Other OPEX</v>
      </c>
      <c r="H127" s="6" t="s">
        <v>70</v>
      </c>
      <c r="I127" s="7">
        <v>832</v>
      </c>
      <c r="J127" s="18" t="b">
        <f>IF(tblFactFinance[[#This Row],[MonthStart]] &lt;= Inputs!$B$1, TRUE, FALSE)</f>
        <v>1</v>
      </c>
    </row>
    <row r="128" spans="1:10" x14ac:dyDescent="0.3">
      <c r="A128" s="15">
        <v>45689</v>
      </c>
      <c r="B128" s="17" t="s">
        <v>55</v>
      </c>
      <c r="C128" s="3" t="s">
        <v>3</v>
      </c>
      <c r="D128" s="3" t="str">
        <f>VLOOKUP(C128, Ref_Department!$A$2:$D$6, 2, FALSE)</f>
        <v>Information Technology</v>
      </c>
      <c r="E128" s="3" t="s">
        <v>12</v>
      </c>
      <c r="F128" s="3" t="str">
        <f>VLOOKUP(E128, Ref_GLAccount!$A$2:$D$9, 2, FALSE)</f>
        <v>Training &amp; Development</v>
      </c>
      <c r="G128" s="3" t="str">
        <f>VLOOKUP(E128, Ref_GLAccount!$A$2:$D$9, 3, FALSE)</f>
        <v>Other OPEX</v>
      </c>
      <c r="H128" s="6" t="s">
        <v>66</v>
      </c>
      <c r="I128" s="7">
        <v>1832.16</v>
      </c>
      <c r="J128" s="18" t="b">
        <f>IF(tblFactFinance[[#This Row],[MonthStart]] &lt;= Inputs!$B$1, TRUE, FALSE)</f>
        <v>1</v>
      </c>
    </row>
    <row r="129" spans="1:10" x14ac:dyDescent="0.3">
      <c r="A129" s="15">
        <v>45689</v>
      </c>
      <c r="B129" s="17" t="s">
        <v>55</v>
      </c>
      <c r="C129" s="3" t="s">
        <v>3</v>
      </c>
      <c r="D129" s="3" t="str">
        <f>VLOOKUP(C129, Ref_Department!$A$2:$D$6, 2, FALSE)</f>
        <v>Information Technology</v>
      </c>
      <c r="E129" s="3" t="s">
        <v>12</v>
      </c>
      <c r="F129" s="3" t="str">
        <f>VLOOKUP(E129, Ref_GLAccount!$A$2:$D$9, 2, FALSE)</f>
        <v>Training &amp; Development</v>
      </c>
      <c r="G129" s="3" t="str">
        <f>VLOOKUP(E129, Ref_GLAccount!$A$2:$D$9, 3, FALSE)</f>
        <v>Other OPEX</v>
      </c>
      <c r="H129" s="6" t="s">
        <v>70</v>
      </c>
      <c r="I129" s="7">
        <v>1872</v>
      </c>
      <c r="J129" s="18" t="b">
        <f>IF(tblFactFinance[[#This Row],[MonthStart]] &lt;= Inputs!$B$1, TRUE, FALSE)</f>
        <v>1</v>
      </c>
    </row>
    <row r="130" spans="1:10" x14ac:dyDescent="0.3">
      <c r="A130" s="15">
        <v>45689</v>
      </c>
      <c r="B130" s="17" t="s">
        <v>55</v>
      </c>
      <c r="C130" s="3" t="s">
        <v>4</v>
      </c>
      <c r="D130" s="3" t="str">
        <f>VLOOKUP(C130, Ref_Department!$A$2:$D$6, 2, FALSE)</f>
        <v>Marketing</v>
      </c>
      <c r="E130" s="3" t="s">
        <v>33</v>
      </c>
      <c r="F130" s="3" t="str">
        <f>VLOOKUP(E130, Ref_GLAccount!$A$2:$D$9, 2, FALSE)</f>
        <v>Salaries</v>
      </c>
      <c r="G130" s="3" t="str">
        <f>VLOOKUP(E130, Ref_GLAccount!$A$2:$D$9, 3, FALSE)</f>
        <v>Personnel</v>
      </c>
      <c r="H130" s="6" t="s">
        <v>66</v>
      </c>
      <c r="I130" s="7">
        <v>66828.710000000006</v>
      </c>
      <c r="J130" s="18" t="b">
        <f>IF(tblFactFinance[[#This Row],[MonthStart]] &lt;= Inputs!$B$1, TRUE, FALSE)</f>
        <v>1</v>
      </c>
    </row>
    <row r="131" spans="1:10" x14ac:dyDescent="0.3">
      <c r="A131" s="15">
        <v>45689</v>
      </c>
      <c r="B131" s="17" t="s">
        <v>55</v>
      </c>
      <c r="C131" s="3" t="s">
        <v>4</v>
      </c>
      <c r="D131" s="3" t="str">
        <f>VLOOKUP(C131, Ref_Department!$A$2:$D$6, 2, FALSE)</f>
        <v>Marketing</v>
      </c>
      <c r="E131" s="3" t="s">
        <v>33</v>
      </c>
      <c r="F131" s="3" t="str">
        <f>VLOOKUP(E131, Ref_GLAccount!$A$2:$D$9, 2, FALSE)</f>
        <v>Salaries</v>
      </c>
      <c r="G131" s="3" t="str">
        <f>VLOOKUP(E131, Ref_GLAccount!$A$2:$D$9, 3, FALSE)</f>
        <v>Personnel</v>
      </c>
      <c r="H131" s="6" t="s">
        <v>70</v>
      </c>
      <c r="I131" s="7">
        <v>64375</v>
      </c>
      <c r="J131" s="18" t="b">
        <f>IF(tblFactFinance[[#This Row],[MonthStart]] &lt;= Inputs!$B$1, TRUE, FALSE)</f>
        <v>1</v>
      </c>
    </row>
    <row r="132" spans="1:10" x14ac:dyDescent="0.3">
      <c r="A132" s="15">
        <v>45689</v>
      </c>
      <c r="B132" s="17" t="s">
        <v>55</v>
      </c>
      <c r="C132" s="3" t="s">
        <v>4</v>
      </c>
      <c r="D132" s="3" t="str">
        <f>VLOOKUP(C132, Ref_Department!$A$2:$D$6, 2, FALSE)</f>
        <v>Marketing</v>
      </c>
      <c r="E132" s="3" t="s">
        <v>37</v>
      </c>
      <c r="F132" s="3" t="str">
        <f>VLOOKUP(E132, Ref_GLAccount!$A$2:$D$9, 2, FALSE)</f>
        <v>Benefits</v>
      </c>
      <c r="G132" s="3" t="str">
        <f>VLOOKUP(E132, Ref_GLAccount!$A$2:$D$9, 3, FALSE)</f>
        <v>Personnel</v>
      </c>
      <c r="H132" s="6" t="s">
        <v>66</v>
      </c>
      <c r="I132" s="7">
        <v>13344.66</v>
      </c>
      <c r="J132" s="18" t="b">
        <f>IF(tblFactFinance[[#This Row],[MonthStart]] &lt;= Inputs!$B$1, TRUE, FALSE)</f>
        <v>1</v>
      </c>
    </row>
    <row r="133" spans="1:10" x14ac:dyDescent="0.3">
      <c r="A133" s="15">
        <v>45689</v>
      </c>
      <c r="B133" s="17" t="s">
        <v>55</v>
      </c>
      <c r="C133" s="3" t="s">
        <v>4</v>
      </c>
      <c r="D133" s="3" t="str">
        <f>VLOOKUP(C133, Ref_Department!$A$2:$D$6, 2, FALSE)</f>
        <v>Marketing</v>
      </c>
      <c r="E133" s="3" t="s">
        <v>37</v>
      </c>
      <c r="F133" s="3" t="str">
        <f>VLOOKUP(E133, Ref_GLAccount!$A$2:$D$9, 2, FALSE)</f>
        <v>Benefits</v>
      </c>
      <c r="G133" s="3" t="str">
        <f>VLOOKUP(E133, Ref_GLAccount!$A$2:$D$9, 3, FALSE)</f>
        <v>Personnel</v>
      </c>
      <c r="H133" s="6" t="s">
        <v>70</v>
      </c>
      <c r="I133" s="7">
        <v>14162.5</v>
      </c>
      <c r="J133" s="18" t="b">
        <f>IF(tblFactFinance[[#This Row],[MonthStart]] &lt;= Inputs!$B$1, TRUE, FALSE)</f>
        <v>1</v>
      </c>
    </row>
    <row r="134" spans="1:10" x14ac:dyDescent="0.3">
      <c r="A134" s="15">
        <v>45689</v>
      </c>
      <c r="B134" s="17" t="s">
        <v>55</v>
      </c>
      <c r="C134" s="3" t="s">
        <v>4</v>
      </c>
      <c r="D134" s="3" t="str">
        <f>VLOOKUP(C134, Ref_Department!$A$2:$D$6, 2, FALSE)</f>
        <v>Marketing</v>
      </c>
      <c r="E134" s="3" t="s">
        <v>7</v>
      </c>
      <c r="F134" s="3" t="str">
        <f>VLOOKUP(E134, Ref_GLAccount!$A$2:$D$9, 2, FALSE)</f>
        <v>Occupancy &amp; Facilities</v>
      </c>
      <c r="G134" s="3" t="str">
        <f>VLOOKUP(E134, Ref_GLAccount!$A$2:$D$9, 3, FALSE)</f>
        <v>Facilities</v>
      </c>
      <c r="H134" s="6" t="s">
        <v>66</v>
      </c>
      <c r="I134" s="7">
        <v>6368.53</v>
      </c>
      <c r="J134" s="18" t="b">
        <f>IF(tblFactFinance[[#This Row],[MonthStart]] &lt;= Inputs!$B$1, TRUE, FALSE)</f>
        <v>1</v>
      </c>
    </row>
    <row r="135" spans="1:10" x14ac:dyDescent="0.3">
      <c r="A135" s="15">
        <v>45689</v>
      </c>
      <c r="B135" s="17" t="s">
        <v>55</v>
      </c>
      <c r="C135" s="3" t="s">
        <v>4</v>
      </c>
      <c r="D135" s="3" t="str">
        <f>VLOOKUP(C135, Ref_Department!$A$2:$D$6, 2, FALSE)</f>
        <v>Marketing</v>
      </c>
      <c r="E135" s="3" t="s">
        <v>7</v>
      </c>
      <c r="F135" s="3" t="str">
        <f>VLOOKUP(E135, Ref_GLAccount!$A$2:$D$9, 2, FALSE)</f>
        <v>Occupancy &amp; Facilities</v>
      </c>
      <c r="G135" s="3" t="str">
        <f>VLOOKUP(E135, Ref_GLAccount!$A$2:$D$9, 3, FALSE)</f>
        <v>Facilities</v>
      </c>
      <c r="H135" s="6" t="s">
        <v>70</v>
      </c>
      <c r="I135" s="7">
        <v>6000</v>
      </c>
      <c r="J135" s="18" t="b">
        <f>IF(tblFactFinance[[#This Row],[MonthStart]] &lt;= Inputs!$B$1, TRUE, FALSE)</f>
        <v>1</v>
      </c>
    </row>
    <row r="136" spans="1:10" x14ac:dyDescent="0.3">
      <c r="A136" s="15">
        <v>45689</v>
      </c>
      <c r="B136" s="17" t="s">
        <v>55</v>
      </c>
      <c r="C136" s="3" t="s">
        <v>4</v>
      </c>
      <c r="D136" s="3" t="str">
        <f>VLOOKUP(C136, Ref_Department!$A$2:$D$6, 2, FALSE)</f>
        <v>Marketing</v>
      </c>
      <c r="E136" s="3" t="s">
        <v>8</v>
      </c>
      <c r="F136" s="3" t="str">
        <f>VLOOKUP(E136, Ref_GLAccount!$A$2:$D$9, 2, FALSE)</f>
        <v>IT Software &amp; Subscriptions</v>
      </c>
      <c r="G136" s="3" t="str">
        <f>VLOOKUP(E136, Ref_GLAccount!$A$2:$D$9, 3, FALSE)</f>
        <v>IT</v>
      </c>
      <c r="H136" s="6" t="s">
        <v>66</v>
      </c>
      <c r="I136" s="7">
        <v>7353.74</v>
      </c>
      <c r="J136" s="18" t="b">
        <f>IF(tblFactFinance[[#This Row],[MonthStart]] &lt;= Inputs!$B$1, TRUE, FALSE)</f>
        <v>1</v>
      </c>
    </row>
    <row r="137" spans="1:10" x14ac:dyDescent="0.3">
      <c r="A137" s="15">
        <v>45689</v>
      </c>
      <c r="B137" s="17" t="s">
        <v>55</v>
      </c>
      <c r="C137" s="3" t="s">
        <v>4</v>
      </c>
      <c r="D137" s="3" t="str">
        <f>VLOOKUP(C137, Ref_Department!$A$2:$D$6, 2, FALSE)</f>
        <v>Marketing</v>
      </c>
      <c r="E137" s="3" t="s">
        <v>8</v>
      </c>
      <c r="F137" s="3" t="str">
        <f>VLOOKUP(E137, Ref_GLAccount!$A$2:$D$9, 2, FALSE)</f>
        <v>IT Software &amp; Subscriptions</v>
      </c>
      <c r="G137" s="3" t="str">
        <f>VLOOKUP(E137, Ref_GLAccount!$A$2:$D$9, 3, FALSE)</f>
        <v>IT</v>
      </c>
      <c r="H137" s="6" t="s">
        <v>70</v>
      </c>
      <c r="I137" s="7">
        <v>7280</v>
      </c>
      <c r="J137" s="18" t="b">
        <f>IF(tblFactFinance[[#This Row],[MonthStart]] &lt;= Inputs!$B$1, TRUE, FALSE)</f>
        <v>1</v>
      </c>
    </row>
    <row r="138" spans="1:10" x14ac:dyDescent="0.3">
      <c r="A138" s="15">
        <v>45689</v>
      </c>
      <c r="B138" s="17" t="s">
        <v>55</v>
      </c>
      <c r="C138" s="3" t="s">
        <v>4</v>
      </c>
      <c r="D138" s="3" t="str">
        <f>VLOOKUP(C138, Ref_Department!$A$2:$D$6, 2, FALSE)</f>
        <v>Marketing</v>
      </c>
      <c r="E138" s="3" t="s">
        <v>9</v>
      </c>
      <c r="F138" s="3" t="str">
        <f>VLOOKUP(E138, Ref_GLAccount!$A$2:$D$9, 2, FALSE)</f>
        <v>Marketing &amp; Advertising</v>
      </c>
      <c r="G138" s="3" t="str">
        <f>VLOOKUP(E138, Ref_GLAccount!$A$2:$D$9, 3, FALSE)</f>
        <v>Marketing</v>
      </c>
      <c r="H138" s="6" t="s">
        <v>66</v>
      </c>
      <c r="I138" s="7">
        <v>28752.400000000001</v>
      </c>
      <c r="J138" s="18" t="b">
        <f>IF(tblFactFinance[[#This Row],[MonthStart]] &lt;= Inputs!$B$1, TRUE, FALSE)</f>
        <v>1</v>
      </c>
    </row>
    <row r="139" spans="1:10" x14ac:dyDescent="0.3">
      <c r="A139" s="15">
        <v>45689</v>
      </c>
      <c r="B139" s="17" t="s">
        <v>55</v>
      </c>
      <c r="C139" s="3" t="s">
        <v>4</v>
      </c>
      <c r="D139" s="3" t="str">
        <f>VLOOKUP(C139, Ref_Department!$A$2:$D$6, 2, FALSE)</f>
        <v>Marketing</v>
      </c>
      <c r="E139" s="3" t="s">
        <v>9</v>
      </c>
      <c r="F139" s="3" t="str">
        <f>VLOOKUP(E139, Ref_GLAccount!$A$2:$D$9, 2, FALSE)</f>
        <v>Marketing &amp; Advertising</v>
      </c>
      <c r="G139" s="3" t="str">
        <f>VLOOKUP(E139, Ref_GLAccount!$A$2:$D$9, 3, FALSE)</f>
        <v>Marketing</v>
      </c>
      <c r="H139" s="6" t="s">
        <v>70</v>
      </c>
      <c r="I139" s="7">
        <v>29120</v>
      </c>
      <c r="J139" s="18" t="b">
        <f>IF(tblFactFinance[[#This Row],[MonthStart]] &lt;= Inputs!$B$1, TRUE, FALSE)</f>
        <v>1</v>
      </c>
    </row>
    <row r="140" spans="1:10" x14ac:dyDescent="0.3">
      <c r="A140" s="15">
        <v>45689</v>
      </c>
      <c r="B140" s="17" t="s">
        <v>55</v>
      </c>
      <c r="C140" s="3" t="s">
        <v>4</v>
      </c>
      <c r="D140" s="3" t="str">
        <f>VLOOKUP(C140, Ref_Department!$A$2:$D$6, 2, FALSE)</f>
        <v>Marketing</v>
      </c>
      <c r="E140" s="3" t="s">
        <v>10</v>
      </c>
      <c r="F140" s="3" t="str">
        <f>VLOOKUP(E140, Ref_GLAccount!$A$2:$D$9, 2, FALSE)</f>
        <v>Professional Services</v>
      </c>
      <c r="G140" s="3" t="str">
        <f>VLOOKUP(E140, Ref_GLAccount!$A$2:$D$9, 3, FALSE)</f>
        <v>Professional Services</v>
      </c>
      <c r="H140" s="6" t="s">
        <v>66</v>
      </c>
      <c r="I140" s="7">
        <v>6420.62</v>
      </c>
      <c r="J140" s="18" t="b">
        <f>IF(tblFactFinance[[#This Row],[MonthStart]] &lt;= Inputs!$B$1, TRUE, FALSE)</f>
        <v>1</v>
      </c>
    </row>
    <row r="141" spans="1:10" x14ac:dyDescent="0.3">
      <c r="A141" s="15">
        <v>45689</v>
      </c>
      <c r="B141" s="17" t="s">
        <v>55</v>
      </c>
      <c r="C141" s="3" t="s">
        <v>4</v>
      </c>
      <c r="D141" s="3" t="str">
        <f>VLOOKUP(C141, Ref_Department!$A$2:$D$6, 2, FALSE)</f>
        <v>Marketing</v>
      </c>
      <c r="E141" s="3" t="s">
        <v>10</v>
      </c>
      <c r="F141" s="3" t="str">
        <f>VLOOKUP(E141, Ref_GLAccount!$A$2:$D$9, 2, FALSE)</f>
        <v>Professional Services</v>
      </c>
      <c r="G141" s="3" t="str">
        <f>VLOOKUP(E141, Ref_GLAccount!$A$2:$D$9, 3, FALSE)</f>
        <v>Professional Services</v>
      </c>
      <c r="H141" s="6" t="s">
        <v>70</v>
      </c>
      <c r="I141" s="7">
        <v>6240</v>
      </c>
      <c r="J141" s="18" t="b">
        <f>IF(tblFactFinance[[#This Row],[MonthStart]] &lt;= Inputs!$B$1, TRUE, FALSE)</f>
        <v>1</v>
      </c>
    </row>
    <row r="142" spans="1:10" x14ac:dyDescent="0.3">
      <c r="A142" s="15">
        <v>45689</v>
      </c>
      <c r="B142" s="17" t="s">
        <v>55</v>
      </c>
      <c r="C142" s="3" t="s">
        <v>4</v>
      </c>
      <c r="D142" s="3" t="str">
        <f>VLOOKUP(C142, Ref_Department!$A$2:$D$6, 2, FALSE)</f>
        <v>Marketing</v>
      </c>
      <c r="E142" s="3" t="s">
        <v>11</v>
      </c>
      <c r="F142" s="3" t="str">
        <f>VLOOKUP(E142, Ref_GLAccount!$A$2:$D$9, 2, FALSE)</f>
        <v>Office Supplies</v>
      </c>
      <c r="G142" s="3" t="str">
        <f>VLOOKUP(E142, Ref_GLAccount!$A$2:$D$9, 3, FALSE)</f>
        <v>Other OPEX</v>
      </c>
      <c r="H142" s="6" t="s">
        <v>66</v>
      </c>
      <c r="I142" s="7">
        <v>744.91</v>
      </c>
      <c r="J142" s="18" t="b">
        <f>IF(tblFactFinance[[#This Row],[MonthStart]] &lt;= Inputs!$B$1, TRUE, FALSE)</f>
        <v>1</v>
      </c>
    </row>
    <row r="143" spans="1:10" x14ac:dyDescent="0.3">
      <c r="A143" s="15">
        <v>45689</v>
      </c>
      <c r="B143" s="17" t="s">
        <v>55</v>
      </c>
      <c r="C143" s="3" t="s">
        <v>4</v>
      </c>
      <c r="D143" s="3" t="str">
        <f>VLOOKUP(C143, Ref_Department!$A$2:$D$6, 2, FALSE)</f>
        <v>Marketing</v>
      </c>
      <c r="E143" s="3" t="s">
        <v>11</v>
      </c>
      <c r="F143" s="3" t="str">
        <f>VLOOKUP(E143, Ref_GLAccount!$A$2:$D$9, 2, FALSE)</f>
        <v>Office Supplies</v>
      </c>
      <c r="G143" s="3" t="str">
        <f>VLOOKUP(E143, Ref_GLAccount!$A$2:$D$9, 3, FALSE)</f>
        <v>Other OPEX</v>
      </c>
      <c r="H143" s="6" t="s">
        <v>70</v>
      </c>
      <c r="I143" s="7">
        <v>728</v>
      </c>
      <c r="J143" s="18" t="b">
        <f>IF(tblFactFinance[[#This Row],[MonthStart]] &lt;= Inputs!$B$1, TRUE, FALSE)</f>
        <v>1</v>
      </c>
    </row>
    <row r="144" spans="1:10" x14ac:dyDescent="0.3">
      <c r="A144" s="15">
        <v>45689</v>
      </c>
      <c r="B144" s="17" t="s">
        <v>55</v>
      </c>
      <c r="C144" s="3" t="s">
        <v>4</v>
      </c>
      <c r="D144" s="3" t="str">
        <f>VLOOKUP(C144, Ref_Department!$A$2:$D$6, 2, FALSE)</f>
        <v>Marketing</v>
      </c>
      <c r="E144" s="3" t="s">
        <v>12</v>
      </c>
      <c r="F144" s="3" t="str">
        <f>VLOOKUP(E144, Ref_GLAccount!$A$2:$D$9, 2, FALSE)</f>
        <v>Training &amp; Development</v>
      </c>
      <c r="G144" s="3" t="str">
        <f>VLOOKUP(E144, Ref_GLAccount!$A$2:$D$9, 3, FALSE)</f>
        <v>Other OPEX</v>
      </c>
      <c r="H144" s="6" t="s">
        <v>66</v>
      </c>
      <c r="I144" s="7">
        <v>1250.23</v>
      </c>
      <c r="J144" s="18" t="b">
        <f>IF(tblFactFinance[[#This Row],[MonthStart]] &lt;= Inputs!$B$1, TRUE, FALSE)</f>
        <v>1</v>
      </c>
    </row>
    <row r="145" spans="1:10" x14ac:dyDescent="0.3">
      <c r="A145" s="15">
        <v>45689</v>
      </c>
      <c r="B145" s="17" t="s">
        <v>55</v>
      </c>
      <c r="C145" s="3" t="s">
        <v>4</v>
      </c>
      <c r="D145" s="3" t="str">
        <f>VLOOKUP(C145, Ref_Department!$A$2:$D$6, 2, FALSE)</f>
        <v>Marketing</v>
      </c>
      <c r="E145" s="3" t="s">
        <v>12</v>
      </c>
      <c r="F145" s="3" t="str">
        <f>VLOOKUP(E145, Ref_GLAccount!$A$2:$D$9, 2, FALSE)</f>
        <v>Training &amp; Development</v>
      </c>
      <c r="G145" s="3" t="str">
        <f>VLOOKUP(E145, Ref_GLAccount!$A$2:$D$9, 3, FALSE)</f>
        <v>Other OPEX</v>
      </c>
      <c r="H145" s="6" t="s">
        <v>70</v>
      </c>
      <c r="I145" s="7">
        <v>1144</v>
      </c>
      <c r="J145" s="18" t="b">
        <f>IF(tblFactFinance[[#This Row],[MonthStart]] &lt;= Inputs!$B$1, TRUE, FALSE)</f>
        <v>1</v>
      </c>
    </row>
    <row r="146" spans="1:10" x14ac:dyDescent="0.3">
      <c r="A146" s="15">
        <v>45689</v>
      </c>
      <c r="B146" s="17" t="s">
        <v>55</v>
      </c>
      <c r="C146" s="3" t="s">
        <v>5</v>
      </c>
      <c r="D146" s="3" t="str">
        <f>VLOOKUP(C146, Ref_Department!$A$2:$D$6, 2, FALSE)</f>
        <v>Human Resources</v>
      </c>
      <c r="E146" s="3" t="s">
        <v>33</v>
      </c>
      <c r="F146" s="3" t="str">
        <f>VLOOKUP(E146, Ref_GLAccount!$A$2:$D$9, 2, FALSE)</f>
        <v>Salaries</v>
      </c>
      <c r="G146" s="3" t="str">
        <f>VLOOKUP(E146, Ref_GLAccount!$A$2:$D$9, 3, FALSE)</f>
        <v>Personnel</v>
      </c>
      <c r="H146" s="6" t="s">
        <v>66</v>
      </c>
      <c r="I146" s="7">
        <v>54888.22</v>
      </c>
      <c r="J146" s="18" t="b">
        <f>IF(tblFactFinance[[#This Row],[MonthStart]] &lt;= Inputs!$B$1, TRUE, FALSE)</f>
        <v>1</v>
      </c>
    </row>
    <row r="147" spans="1:10" x14ac:dyDescent="0.3">
      <c r="A147" s="15">
        <v>45689</v>
      </c>
      <c r="B147" s="17" t="s">
        <v>55</v>
      </c>
      <c r="C147" s="3" t="s">
        <v>5</v>
      </c>
      <c r="D147" s="3" t="str">
        <f>VLOOKUP(C147, Ref_Department!$A$2:$D$6, 2, FALSE)</f>
        <v>Human Resources</v>
      </c>
      <c r="E147" s="3" t="s">
        <v>33</v>
      </c>
      <c r="F147" s="3" t="str">
        <f>VLOOKUP(E147, Ref_GLAccount!$A$2:$D$9, 2, FALSE)</f>
        <v>Salaries</v>
      </c>
      <c r="G147" s="3" t="str">
        <f>VLOOKUP(E147, Ref_GLAccount!$A$2:$D$9, 3, FALSE)</f>
        <v>Personnel</v>
      </c>
      <c r="H147" s="6" t="s">
        <v>70</v>
      </c>
      <c r="I147" s="7">
        <v>53560</v>
      </c>
      <c r="J147" s="18" t="b">
        <f>IF(tblFactFinance[[#This Row],[MonthStart]] &lt;= Inputs!$B$1, TRUE, FALSE)</f>
        <v>1</v>
      </c>
    </row>
    <row r="148" spans="1:10" x14ac:dyDescent="0.3">
      <c r="A148" s="15">
        <v>45689</v>
      </c>
      <c r="B148" s="17" t="s">
        <v>55</v>
      </c>
      <c r="C148" s="3" t="s">
        <v>5</v>
      </c>
      <c r="D148" s="3" t="str">
        <f>VLOOKUP(C148, Ref_Department!$A$2:$D$6, 2, FALSE)</f>
        <v>Human Resources</v>
      </c>
      <c r="E148" s="3" t="s">
        <v>37</v>
      </c>
      <c r="F148" s="3" t="str">
        <f>VLOOKUP(E148, Ref_GLAccount!$A$2:$D$9, 2, FALSE)</f>
        <v>Benefits</v>
      </c>
      <c r="G148" s="3" t="str">
        <f>VLOOKUP(E148, Ref_GLAccount!$A$2:$D$9, 3, FALSE)</f>
        <v>Personnel</v>
      </c>
      <c r="H148" s="6" t="s">
        <v>66</v>
      </c>
      <c r="I148" s="7">
        <v>11495.97</v>
      </c>
      <c r="J148" s="18" t="b">
        <f>IF(tblFactFinance[[#This Row],[MonthStart]] &lt;= Inputs!$B$1, TRUE, FALSE)</f>
        <v>1</v>
      </c>
    </row>
    <row r="149" spans="1:10" x14ac:dyDescent="0.3">
      <c r="A149" s="15">
        <v>45689</v>
      </c>
      <c r="B149" s="17" t="s">
        <v>55</v>
      </c>
      <c r="C149" s="3" t="s">
        <v>5</v>
      </c>
      <c r="D149" s="3" t="str">
        <f>VLOOKUP(C149, Ref_Department!$A$2:$D$6, 2, FALSE)</f>
        <v>Human Resources</v>
      </c>
      <c r="E149" s="3" t="s">
        <v>37</v>
      </c>
      <c r="F149" s="3" t="str">
        <f>VLOOKUP(E149, Ref_GLAccount!$A$2:$D$9, 2, FALSE)</f>
        <v>Benefits</v>
      </c>
      <c r="G149" s="3" t="str">
        <f>VLOOKUP(E149, Ref_GLAccount!$A$2:$D$9, 3, FALSE)</f>
        <v>Personnel</v>
      </c>
      <c r="H149" s="6" t="s">
        <v>70</v>
      </c>
      <c r="I149" s="7">
        <v>11783.2</v>
      </c>
      <c r="J149" s="18" t="b">
        <f>IF(tblFactFinance[[#This Row],[MonthStart]] &lt;= Inputs!$B$1, TRUE, FALSE)</f>
        <v>1</v>
      </c>
    </row>
    <row r="150" spans="1:10" x14ac:dyDescent="0.3">
      <c r="A150" s="15">
        <v>45689</v>
      </c>
      <c r="B150" s="17" t="s">
        <v>55</v>
      </c>
      <c r="C150" s="3" t="s">
        <v>5</v>
      </c>
      <c r="D150" s="3" t="str">
        <f>VLOOKUP(C150, Ref_Department!$A$2:$D$6, 2, FALSE)</f>
        <v>Human Resources</v>
      </c>
      <c r="E150" s="3" t="s">
        <v>7</v>
      </c>
      <c r="F150" s="3" t="str">
        <f>VLOOKUP(E150, Ref_GLAccount!$A$2:$D$9, 2, FALSE)</f>
        <v>Occupancy &amp; Facilities</v>
      </c>
      <c r="G150" s="3" t="str">
        <f>VLOOKUP(E150, Ref_GLAccount!$A$2:$D$9, 3, FALSE)</f>
        <v>Facilities</v>
      </c>
      <c r="H150" s="6" t="s">
        <v>66</v>
      </c>
      <c r="I150" s="7">
        <v>4144.72</v>
      </c>
      <c r="J150" s="18" t="b">
        <f>IF(tblFactFinance[[#This Row],[MonthStart]] &lt;= Inputs!$B$1, TRUE, FALSE)</f>
        <v>1</v>
      </c>
    </row>
    <row r="151" spans="1:10" x14ac:dyDescent="0.3">
      <c r="A151" s="15">
        <v>45689</v>
      </c>
      <c r="B151" s="17" t="s">
        <v>55</v>
      </c>
      <c r="C151" s="3" t="s">
        <v>5</v>
      </c>
      <c r="D151" s="3" t="str">
        <f>VLOOKUP(C151, Ref_Department!$A$2:$D$6, 2, FALSE)</f>
        <v>Human Resources</v>
      </c>
      <c r="E151" s="3" t="s">
        <v>7</v>
      </c>
      <c r="F151" s="3" t="str">
        <f>VLOOKUP(E151, Ref_GLAccount!$A$2:$D$9, 2, FALSE)</f>
        <v>Occupancy &amp; Facilities</v>
      </c>
      <c r="G151" s="3" t="str">
        <f>VLOOKUP(E151, Ref_GLAccount!$A$2:$D$9, 3, FALSE)</f>
        <v>Facilities</v>
      </c>
      <c r="H151" s="6" t="s">
        <v>70</v>
      </c>
      <c r="I151" s="7">
        <v>4000</v>
      </c>
      <c r="J151" s="18" t="b">
        <f>IF(tblFactFinance[[#This Row],[MonthStart]] &lt;= Inputs!$B$1, TRUE, FALSE)</f>
        <v>1</v>
      </c>
    </row>
    <row r="152" spans="1:10" x14ac:dyDescent="0.3">
      <c r="A152" s="15">
        <v>45689</v>
      </c>
      <c r="B152" s="17" t="s">
        <v>55</v>
      </c>
      <c r="C152" s="3" t="s">
        <v>5</v>
      </c>
      <c r="D152" s="3" t="str">
        <f>VLOOKUP(C152, Ref_Department!$A$2:$D$6, 2, FALSE)</f>
        <v>Human Resources</v>
      </c>
      <c r="E152" s="3" t="s">
        <v>8</v>
      </c>
      <c r="F152" s="3" t="str">
        <f>VLOOKUP(E152, Ref_GLAccount!$A$2:$D$9, 2, FALSE)</f>
        <v>IT Software &amp; Subscriptions</v>
      </c>
      <c r="G152" s="3" t="str">
        <f>VLOOKUP(E152, Ref_GLAccount!$A$2:$D$9, 3, FALSE)</f>
        <v>IT</v>
      </c>
      <c r="H152" s="6" t="s">
        <v>66</v>
      </c>
      <c r="I152" s="7">
        <v>5027.03</v>
      </c>
      <c r="J152" s="18" t="b">
        <f>IF(tblFactFinance[[#This Row],[MonthStart]] &lt;= Inputs!$B$1, TRUE, FALSE)</f>
        <v>1</v>
      </c>
    </row>
    <row r="153" spans="1:10" x14ac:dyDescent="0.3">
      <c r="A153" s="15">
        <v>45689</v>
      </c>
      <c r="B153" s="17" t="s">
        <v>55</v>
      </c>
      <c r="C153" s="3" t="s">
        <v>5</v>
      </c>
      <c r="D153" s="3" t="str">
        <f>VLOOKUP(C153, Ref_Department!$A$2:$D$6, 2, FALSE)</f>
        <v>Human Resources</v>
      </c>
      <c r="E153" s="3" t="s">
        <v>8</v>
      </c>
      <c r="F153" s="3" t="str">
        <f>VLOOKUP(E153, Ref_GLAccount!$A$2:$D$9, 2, FALSE)</f>
        <v>IT Software &amp; Subscriptions</v>
      </c>
      <c r="G153" s="3" t="str">
        <f>VLOOKUP(E153, Ref_GLAccount!$A$2:$D$9, 3, FALSE)</f>
        <v>IT</v>
      </c>
      <c r="H153" s="6" t="s">
        <v>70</v>
      </c>
      <c r="I153" s="7">
        <v>5200</v>
      </c>
      <c r="J153" s="18" t="b">
        <f>IF(tblFactFinance[[#This Row],[MonthStart]] &lt;= Inputs!$B$1, TRUE, FALSE)</f>
        <v>1</v>
      </c>
    </row>
    <row r="154" spans="1:10" x14ac:dyDescent="0.3">
      <c r="A154" s="15">
        <v>45689</v>
      </c>
      <c r="B154" s="17" t="s">
        <v>55</v>
      </c>
      <c r="C154" s="3" t="s">
        <v>5</v>
      </c>
      <c r="D154" s="3" t="str">
        <f>VLOOKUP(C154, Ref_Department!$A$2:$D$6, 2, FALSE)</f>
        <v>Human Resources</v>
      </c>
      <c r="E154" s="3" t="s">
        <v>9</v>
      </c>
      <c r="F154" s="3" t="str">
        <f>VLOOKUP(E154, Ref_GLAccount!$A$2:$D$9, 2, FALSE)</f>
        <v>Marketing &amp; Advertising</v>
      </c>
      <c r="G154" s="3" t="str">
        <f>VLOOKUP(E154, Ref_GLAccount!$A$2:$D$9, 3, FALSE)</f>
        <v>Marketing</v>
      </c>
      <c r="H154" s="6" t="s">
        <v>66</v>
      </c>
      <c r="I154" s="7">
        <v>1295.54</v>
      </c>
      <c r="J154" s="18" t="b">
        <f>IF(tblFactFinance[[#This Row],[MonthStart]] &lt;= Inputs!$B$1, TRUE, FALSE)</f>
        <v>1</v>
      </c>
    </row>
    <row r="155" spans="1:10" x14ac:dyDescent="0.3">
      <c r="A155" s="15">
        <v>45689</v>
      </c>
      <c r="B155" s="17" t="s">
        <v>55</v>
      </c>
      <c r="C155" s="3" t="s">
        <v>5</v>
      </c>
      <c r="D155" s="3" t="str">
        <f>VLOOKUP(C155, Ref_Department!$A$2:$D$6, 2, FALSE)</f>
        <v>Human Resources</v>
      </c>
      <c r="E155" s="3" t="s">
        <v>9</v>
      </c>
      <c r="F155" s="3" t="str">
        <f>VLOOKUP(E155, Ref_GLAccount!$A$2:$D$9, 2, FALSE)</f>
        <v>Marketing &amp; Advertising</v>
      </c>
      <c r="G155" s="3" t="str">
        <f>VLOOKUP(E155, Ref_GLAccount!$A$2:$D$9, 3, FALSE)</f>
        <v>Marketing</v>
      </c>
      <c r="H155" s="6" t="s">
        <v>70</v>
      </c>
      <c r="I155" s="7">
        <v>1248</v>
      </c>
      <c r="J155" s="18" t="b">
        <f>IF(tblFactFinance[[#This Row],[MonthStart]] &lt;= Inputs!$B$1, TRUE, FALSE)</f>
        <v>1</v>
      </c>
    </row>
    <row r="156" spans="1:10" x14ac:dyDescent="0.3">
      <c r="A156" s="15">
        <v>45689</v>
      </c>
      <c r="B156" s="17" t="s">
        <v>55</v>
      </c>
      <c r="C156" s="3" t="s">
        <v>5</v>
      </c>
      <c r="D156" s="3" t="str">
        <f>VLOOKUP(C156, Ref_Department!$A$2:$D$6, 2, FALSE)</f>
        <v>Human Resources</v>
      </c>
      <c r="E156" s="3" t="s">
        <v>10</v>
      </c>
      <c r="F156" s="3" t="str">
        <f>VLOOKUP(E156, Ref_GLAccount!$A$2:$D$9, 2, FALSE)</f>
        <v>Professional Services</v>
      </c>
      <c r="G156" s="3" t="str">
        <f>VLOOKUP(E156, Ref_GLAccount!$A$2:$D$9, 3, FALSE)</f>
        <v>Professional Services</v>
      </c>
      <c r="H156" s="6" t="s">
        <v>66</v>
      </c>
      <c r="I156" s="7">
        <v>3557.47</v>
      </c>
      <c r="J156" s="18" t="b">
        <f>IF(tblFactFinance[[#This Row],[MonthStart]] &lt;= Inputs!$B$1, TRUE, FALSE)</f>
        <v>1</v>
      </c>
    </row>
    <row r="157" spans="1:10" x14ac:dyDescent="0.3">
      <c r="A157" s="15">
        <v>45689</v>
      </c>
      <c r="B157" s="17" t="s">
        <v>55</v>
      </c>
      <c r="C157" s="3" t="s">
        <v>5</v>
      </c>
      <c r="D157" s="3" t="str">
        <f>VLOOKUP(C157, Ref_Department!$A$2:$D$6, 2, FALSE)</f>
        <v>Human Resources</v>
      </c>
      <c r="E157" s="3" t="s">
        <v>10</v>
      </c>
      <c r="F157" s="3" t="str">
        <f>VLOOKUP(E157, Ref_GLAccount!$A$2:$D$9, 2, FALSE)</f>
        <v>Professional Services</v>
      </c>
      <c r="G157" s="3" t="str">
        <f>VLOOKUP(E157, Ref_GLAccount!$A$2:$D$9, 3, FALSE)</f>
        <v>Professional Services</v>
      </c>
      <c r="H157" s="6" t="s">
        <v>70</v>
      </c>
      <c r="I157" s="7">
        <v>3640</v>
      </c>
      <c r="J157" s="18" t="b">
        <f>IF(tblFactFinance[[#This Row],[MonthStart]] &lt;= Inputs!$B$1, TRUE, FALSE)</f>
        <v>1</v>
      </c>
    </row>
    <row r="158" spans="1:10" x14ac:dyDescent="0.3">
      <c r="A158" s="15">
        <v>45689</v>
      </c>
      <c r="B158" s="17" t="s">
        <v>55</v>
      </c>
      <c r="C158" s="3" t="s">
        <v>5</v>
      </c>
      <c r="D158" s="3" t="str">
        <f>VLOOKUP(C158, Ref_Department!$A$2:$D$6, 2, FALSE)</f>
        <v>Human Resources</v>
      </c>
      <c r="E158" s="3" t="s">
        <v>11</v>
      </c>
      <c r="F158" s="3" t="str">
        <f>VLOOKUP(E158, Ref_GLAccount!$A$2:$D$9, 2, FALSE)</f>
        <v>Office Supplies</v>
      </c>
      <c r="G158" s="3" t="str">
        <f>VLOOKUP(E158, Ref_GLAccount!$A$2:$D$9, 3, FALSE)</f>
        <v>Other OPEX</v>
      </c>
      <c r="H158" s="6" t="s">
        <v>66</v>
      </c>
      <c r="I158" s="7">
        <v>622.25</v>
      </c>
      <c r="J158" s="18" t="b">
        <f>IF(tblFactFinance[[#This Row],[MonthStart]] &lt;= Inputs!$B$1, TRUE, FALSE)</f>
        <v>1</v>
      </c>
    </row>
    <row r="159" spans="1:10" x14ac:dyDescent="0.3">
      <c r="A159" s="15">
        <v>45689</v>
      </c>
      <c r="B159" s="17" t="s">
        <v>55</v>
      </c>
      <c r="C159" s="3" t="s">
        <v>5</v>
      </c>
      <c r="D159" s="3" t="str">
        <f>VLOOKUP(C159, Ref_Department!$A$2:$D$6, 2, FALSE)</f>
        <v>Human Resources</v>
      </c>
      <c r="E159" s="3" t="s">
        <v>11</v>
      </c>
      <c r="F159" s="3" t="str">
        <f>VLOOKUP(E159, Ref_GLAccount!$A$2:$D$9, 2, FALSE)</f>
        <v>Office Supplies</v>
      </c>
      <c r="G159" s="3" t="str">
        <f>VLOOKUP(E159, Ref_GLAccount!$A$2:$D$9, 3, FALSE)</f>
        <v>Other OPEX</v>
      </c>
      <c r="H159" s="6" t="s">
        <v>70</v>
      </c>
      <c r="I159" s="7">
        <v>624</v>
      </c>
      <c r="J159" s="18" t="b">
        <f>IF(tblFactFinance[[#This Row],[MonthStart]] &lt;= Inputs!$B$1, TRUE, FALSE)</f>
        <v>1</v>
      </c>
    </row>
    <row r="160" spans="1:10" x14ac:dyDescent="0.3">
      <c r="A160" s="15">
        <v>45689</v>
      </c>
      <c r="B160" s="17" t="s">
        <v>55</v>
      </c>
      <c r="C160" s="3" t="s">
        <v>5</v>
      </c>
      <c r="D160" s="3" t="str">
        <f>VLOOKUP(C160, Ref_Department!$A$2:$D$6, 2, FALSE)</f>
        <v>Human Resources</v>
      </c>
      <c r="E160" s="3" t="s">
        <v>12</v>
      </c>
      <c r="F160" s="3" t="str">
        <f>VLOOKUP(E160, Ref_GLAccount!$A$2:$D$9, 2, FALSE)</f>
        <v>Training &amp; Development</v>
      </c>
      <c r="G160" s="3" t="str">
        <f>VLOOKUP(E160, Ref_GLAccount!$A$2:$D$9, 3, FALSE)</f>
        <v>Other OPEX</v>
      </c>
      <c r="H160" s="6" t="s">
        <v>66</v>
      </c>
      <c r="I160" s="7">
        <v>1713.87</v>
      </c>
      <c r="J160" s="18" t="b">
        <f>IF(tblFactFinance[[#This Row],[MonthStart]] &lt;= Inputs!$B$1, TRUE, FALSE)</f>
        <v>1</v>
      </c>
    </row>
    <row r="161" spans="1:10" x14ac:dyDescent="0.3">
      <c r="A161" s="15">
        <v>45689</v>
      </c>
      <c r="B161" s="17" t="s">
        <v>55</v>
      </c>
      <c r="C161" s="3" t="s">
        <v>5</v>
      </c>
      <c r="D161" s="3" t="str">
        <f>VLOOKUP(C161, Ref_Department!$A$2:$D$6, 2, FALSE)</f>
        <v>Human Resources</v>
      </c>
      <c r="E161" s="3" t="s">
        <v>12</v>
      </c>
      <c r="F161" s="3" t="str">
        <f>VLOOKUP(E161, Ref_GLAccount!$A$2:$D$9, 2, FALSE)</f>
        <v>Training &amp; Development</v>
      </c>
      <c r="G161" s="3" t="str">
        <f>VLOOKUP(E161, Ref_GLAccount!$A$2:$D$9, 3, FALSE)</f>
        <v>Other OPEX</v>
      </c>
      <c r="H161" s="6" t="s">
        <v>70</v>
      </c>
      <c r="I161" s="7">
        <v>1664</v>
      </c>
      <c r="J161" s="18" t="b">
        <f>IF(tblFactFinance[[#This Row],[MonthStart]] &lt;= Inputs!$B$1, TRUE, FALSE)</f>
        <v>1</v>
      </c>
    </row>
    <row r="162" spans="1:10" x14ac:dyDescent="0.3">
      <c r="A162" s="15">
        <v>45717</v>
      </c>
      <c r="B162" s="17" t="s">
        <v>56</v>
      </c>
      <c r="C162" s="3" t="s">
        <v>1</v>
      </c>
      <c r="D162" s="3" t="str">
        <f>VLOOKUP(C162, Ref_Department!$A$2:$D$6, 2, FALSE)</f>
        <v>Branch Operations</v>
      </c>
      <c r="E162" s="3" t="s">
        <v>33</v>
      </c>
      <c r="F162" s="3" t="str">
        <f>VLOOKUP(E162, Ref_GLAccount!$A$2:$D$9, 2, FALSE)</f>
        <v>Salaries</v>
      </c>
      <c r="G162" s="3" t="str">
        <f>VLOOKUP(E162, Ref_GLAccount!$A$2:$D$9, 3, FALSE)</f>
        <v>Personnel</v>
      </c>
      <c r="H162" s="6" t="s">
        <v>66</v>
      </c>
      <c r="I162" s="7">
        <v>195037.7</v>
      </c>
      <c r="J162" s="18" t="b">
        <f>IF(tblFactFinance[[#This Row],[MonthStart]] &lt;= Inputs!$B$1, TRUE, FALSE)</f>
        <v>1</v>
      </c>
    </row>
    <row r="163" spans="1:10" x14ac:dyDescent="0.3">
      <c r="A163" s="15">
        <v>45717</v>
      </c>
      <c r="B163" s="17" t="s">
        <v>56</v>
      </c>
      <c r="C163" s="3" t="s">
        <v>1</v>
      </c>
      <c r="D163" s="3" t="str">
        <f>VLOOKUP(C163, Ref_Department!$A$2:$D$6, 2, FALSE)</f>
        <v>Branch Operations</v>
      </c>
      <c r="E163" s="3" t="s">
        <v>33</v>
      </c>
      <c r="F163" s="3" t="str">
        <f>VLOOKUP(E163, Ref_GLAccount!$A$2:$D$9, 2, FALSE)</f>
        <v>Salaries</v>
      </c>
      <c r="G163" s="3" t="str">
        <f>VLOOKUP(E163, Ref_GLAccount!$A$2:$D$9, 3, FALSE)</f>
        <v>Personnel</v>
      </c>
      <c r="H163" s="6" t="s">
        <v>70</v>
      </c>
      <c r="I163" s="7">
        <v>200850</v>
      </c>
      <c r="J163" s="18" t="b">
        <f>IF(tblFactFinance[[#This Row],[MonthStart]] &lt;= Inputs!$B$1, TRUE, FALSE)</f>
        <v>1</v>
      </c>
    </row>
    <row r="164" spans="1:10" x14ac:dyDescent="0.3">
      <c r="A164" s="15">
        <v>45717</v>
      </c>
      <c r="B164" s="17" t="s">
        <v>56</v>
      </c>
      <c r="C164" s="3" t="s">
        <v>1</v>
      </c>
      <c r="D164" s="3" t="str">
        <f>VLOOKUP(C164, Ref_Department!$A$2:$D$6, 2, FALSE)</f>
        <v>Branch Operations</v>
      </c>
      <c r="E164" s="3" t="s">
        <v>37</v>
      </c>
      <c r="F164" s="3" t="str">
        <f>VLOOKUP(E164, Ref_GLAccount!$A$2:$D$9, 2, FALSE)</f>
        <v>Benefits</v>
      </c>
      <c r="G164" s="3" t="str">
        <f>VLOOKUP(E164, Ref_GLAccount!$A$2:$D$9, 3, FALSE)</f>
        <v>Personnel</v>
      </c>
      <c r="H164" s="6" t="s">
        <v>66</v>
      </c>
      <c r="I164" s="7">
        <v>43667.97</v>
      </c>
      <c r="J164" s="18" t="b">
        <f>IF(tblFactFinance[[#This Row],[MonthStart]] &lt;= Inputs!$B$1, TRUE, FALSE)</f>
        <v>1</v>
      </c>
    </row>
    <row r="165" spans="1:10" x14ac:dyDescent="0.3">
      <c r="A165" s="15">
        <v>45717</v>
      </c>
      <c r="B165" s="17" t="s">
        <v>56</v>
      </c>
      <c r="C165" s="3" t="s">
        <v>1</v>
      </c>
      <c r="D165" s="3" t="str">
        <f>VLOOKUP(C165, Ref_Department!$A$2:$D$6, 2, FALSE)</f>
        <v>Branch Operations</v>
      </c>
      <c r="E165" s="3" t="s">
        <v>37</v>
      </c>
      <c r="F165" s="3" t="str">
        <f>VLOOKUP(E165, Ref_GLAccount!$A$2:$D$9, 2, FALSE)</f>
        <v>Benefits</v>
      </c>
      <c r="G165" s="3" t="str">
        <f>VLOOKUP(E165, Ref_GLAccount!$A$2:$D$9, 3, FALSE)</f>
        <v>Personnel</v>
      </c>
      <c r="H165" s="6" t="s">
        <v>70</v>
      </c>
      <c r="I165" s="7">
        <v>44187</v>
      </c>
      <c r="J165" s="18" t="b">
        <f>IF(tblFactFinance[[#This Row],[MonthStart]] &lt;= Inputs!$B$1, TRUE, FALSE)</f>
        <v>1</v>
      </c>
    </row>
    <row r="166" spans="1:10" x14ac:dyDescent="0.3">
      <c r="A166" s="15">
        <v>45717</v>
      </c>
      <c r="B166" s="17" t="s">
        <v>56</v>
      </c>
      <c r="C166" s="3" t="s">
        <v>1</v>
      </c>
      <c r="D166" s="3" t="str">
        <f>VLOOKUP(C166, Ref_Department!$A$2:$D$6, 2, FALSE)</f>
        <v>Branch Operations</v>
      </c>
      <c r="E166" s="3" t="s">
        <v>7</v>
      </c>
      <c r="F166" s="3" t="str">
        <f>VLOOKUP(E166, Ref_GLAccount!$A$2:$D$9, 2, FALSE)</f>
        <v>Occupancy &amp; Facilities</v>
      </c>
      <c r="G166" s="3" t="str">
        <f>VLOOKUP(E166, Ref_GLAccount!$A$2:$D$9, 3, FALSE)</f>
        <v>Facilities</v>
      </c>
      <c r="H166" s="6" t="s">
        <v>66</v>
      </c>
      <c r="I166" s="7">
        <v>35201.24</v>
      </c>
      <c r="J166" s="18" t="b">
        <f>IF(tblFactFinance[[#This Row],[MonthStart]] &lt;= Inputs!$B$1, TRUE, FALSE)</f>
        <v>1</v>
      </c>
    </row>
    <row r="167" spans="1:10" x14ac:dyDescent="0.3">
      <c r="A167" s="15">
        <v>45717</v>
      </c>
      <c r="B167" s="17" t="s">
        <v>56</v>
      </c>
      <c r="C167" s="3" t="s">
        <v>1</v>
      </c>
      <c r="D167" s="3" t="str">
        <f>VLOOKUP(C167, Ref_Department!$A$2:$D$6, 2, FALSE)</f>
        <v>Branch Operations</v>
      </c>
      <c r="E167" s="3" t="s">
        <v>7</v>
      </c>
      <c r="F167" s="3" t="str">
        <f>VLOOKUP(E167, Ref_GLAccount!$A$2:$D$9, 2, FALSE)</f>
        <v>Occupancy &amp; Facilities</v>
      </c>
      <c r="G167" s="3" t="str">
        <f>VLOOKUP(E167, Ref_GLAccount!$A$2:$D$9, 3, FALSE)</f>
        <v>Facilities</v>
      </c>
      <c r="H167" s="6" t="s">
        <v>70</v>
      </c>
      <c r="I167" s="7">
        <v>38000</v>
      </c>
      <c r="J167" s="18" t="b">
        <f>IF(tblFactFinance[[#This Row],[MonthStart]] &lt;= Inputs!$B$1, TRUE, FALSE)</f>
        <v>1</v>
      </c>
    </row>
    <row r="168" spans="1:10" x14ac:dyDescent="0.3">
      <c r="A168" s="15">
        <v>45717</v>
      </c>
      <c r="B168" s="17" t="s">
        <v>56</v>
      </c>
      <c r="C168" s="3" t="s">
        <v>1</v>
      </c>
      <c r="D168" s="3" t="str">
        <f>VLOOKUP(C168, Ref_Department!$A$2:$D$6, 2, FALSE)</f>
        <v>Branch Operations</v>
      </c>
      <c r="E168" s="3" t="s">
        <v>8</v>
      </c>
      <c r="F168" s="3" t="str">
        <f>VLOOKUP(E168, Ref_GLAccount!$A$2:$D$9, 2, FALSE)</f>
        <v>IT Software &amp; Subscriptions</v>
      </c>
      <c r="G168" s="3" t="str">
        <f>VLOOKUP(E168, Ref_GLAccount!$A$2:$D$9, 3, FALSE)</f>
        <v>IT</v>
      </c>
      <c r="H168" s="6" t="s">
        <v>66</v>
      </c>
      <c r="I168" s="7">
        <v>11939.63</v>
      </c>
      <c r="J168" s="18" t="b">
        <f>IF(tblFactFinance[[#This Row],[MonthStart]] &lt;= Inputs!$B$1, TRUE, FALSE)</f>
        <v>1</v>
      </c>
    </row>
    <row r="169" spans="1:10" x14ac:dyDescent="0.3">
      <c r="A169" s="15">
        <v>45717</v>
      </c>
      <c r="B169" s="17" t="s">
        <v>56</v>
      </c>
      <c r="C169" s="3" t="s">
        <v>1</v>
      </c>
      <c r="D169" s="3" t="str">
        <f>VLOOKUP(C169, Ref_Department!$A$2:$D$6, 2, FALSE)</f>
        <v>Branch Operations</v>
      </c>
      <c r="E169" s="3" t="s">
        <v>8</v>
      </c>
      <c r="F169" s="3" t="str">
        <f>VLOOKUP(E169, Ref_GLAccount!$A$2:$D$9, 2, FALSE)</f>
        <v>IT Software &amp; Subscriptions</v>
      </c>
      <c r="G169" s="3" t="str">
        <f>VLOOKUP(E169, Ref_GLAccount!$A$2:$D$9, 3, FALSE)</f>
        <v>IT</v>
      </c>
      <c r="H169" s="6" t="s">
        <v>70</v>
      </c>
      <c r="I169" s="7">
        <v>12480</v>
      </c>
      <c r="J169" s="18" t="b">
        <f>IF(tblFactFinance[[#This Row],[MonthStart]] &lt;= Inputs!$B$1, TRUE, FALSE)</f>
        <v>1</v>
      </c>
    </row>
    <row r="170" spans="1:10" x14ac:dyDescent="0.3">
      <c r="A170" s="15">
        <v>45717</v>
      </c>
      <c r="B170" s="17" t="s">
        <v>56</v>
      </c>
      <c r="C170" s="3" t="s">
        <v>1</v>
      </c>
      <c r="D170" s="3" t="str">
        <f>VLOOKUP(C170, Ref_Department!$A$2:$D$6, 2, FALSE)</f>
        <v>Branch Operations</v>
      </c>
      <c r="E170" s="3" t="s">
        <v>9</v>
      </c>
      <c r="F170" s="3" t="str">
        <f>VLOOKUP(E170, Ref_GLAccount!$A$2:$D$9, 2, FALSE)</f>
        <v>Marketing &amp; Advertising</v>
      </c>
      <c r="G170" s="3" t="str">
        <f>VLOOKUP(E170, Ref_GLAccount!$A$2:$D$9, 3, FALSE)</f>
        <v>Marketing</v>
      </c>
      <c r="H170" s="6" t="s">
        <v>66</v>
      </c>
      <c r="I170" s="7">
        <v>5285.19</v>
      </c>
      <c r="J170" s="18" t="b">
        <f>IF(tblFactFinance[[#This Row],[MonthStart]] &lt;= Inputs!$B$1, TRUE, FALSE)</f>
        <v>1</v>
      </c>
    </row>
    <row r="171" spans="1:10" x14ac:dyDescent="0.3">
      <c r="A171" s="15">
        <v>45717</v>
      </c>
      <c r="B171" s="17" t="s">
        <v>56</v>
      </c>
      <c r="C171" s="3" t="s">
        <v>1</v>
      </c>
      <c r="D171" s="3" t="str">
        <f>VLOOKUP(C171, Ref_Department!$A$2:$D$6, 2, FALSE)</f>
        <v>Branch Operations</v>
      </c>
      <c r="E171" s="3" t="s">
        <v>9</v>
      </c>
      <c r="F171" s="3" t="str">
        <f>VLOOKUP(E171, Ref_GLAccount!$A$2:$D$9, 2, FALSE)</f>
        <v>Marketing &amp; Advertising</v>
      </c>
      <c r="G171" s="3" t="str">
        <f>VLOOKUP(E171, Ref_GLAccount!$A$2:$D$9, 3, FALSE)</f>
        <v>Marketing</v>
      </c>
      <c r="H171" s="6" t="s">
        <v>70</v>
      </c>
      <c r="I171" s="7">
        <v>5408</v>
      </c>
      <c r="J171" s="18" t="b">
        <f>IF(tblFactFinance[[#This Row],[MonthStart]] &lt;= Inputs!$B$1, TRUE, FALSE)</f>
        <v>1</v>
      </c>
    </row>
    <row r="172" spans="1:10" x14ac:dyDescent="0.3">
      <c r="A172" s="15">
        <v>45717</v>
      </c>
      <c r="B172" s="17" t="s">
        <v>56</v>
      </c>
      <c r="C172" s="3" t="s">
        <v>1</v>
      </c>
      <c r="D172" s="3" t="str">
        <f>VLOOKUP(C172, Ref_Department!$A$2:$D$6, 2, FALSE)</f>
        <v>Branch Operations</v>
      </c>
      <c r="E172" s="3" t="s">
        <v>10</v>
      </c>
      <c r="F172" s="3" t="str">
        <f>VLOOKUP(E172, Ref_GLAccount!$A$2:$D$9, 2, FALSE)</f>
        <v>Professional Services</v>
      </c>
      <c r="G172" s="3" t="str">
        <f>VLOOKUP(E172, Ref_GLAccount!$A$2:$D$9, 3, FALSE)</f>
        <v>Professional Services</v>
      </c>
      <c r="H172" s="6" t="s">
        <v>66</v>
      </c>
      <c r="I172" s="7">
        <v>5286.48</v>
      </c>
      <c r="J172" s="18" t="b">
        <f>IF(tblFactFinance[[#This Row],[MonthStart]] &lt;= Inputs!$B$1, TRUE, FALSE)</f>
        <v>1</v>
      </c>
    </row>
    <row r="173" spans="1:10" x14ac:dyDescent="0.3">
      <c r="A173" s="15">
        <v>45717</v>
      </c>
      <c r="B173" s="17" t="s">
        <v>56</v>
      </c>
      <c r="C173" s="3" t="s">
        <v>1</v>
      </c>
      <c r="D173" s="3" t="str">
        <f>VLOOKUP(C173, Ref_Department!$A$2:$D$6, 2, FALSE)</f>
        <v>Branch Operations</v>
      </c>
      <c r="E173" s="3" t="s">
        <v>10</v>
      </c>
      <c r="F173" s="3" t="str">
        <f>VLOOKUP(E173, Ref_GLAccount!$A$2:$D$9, 2, FALSE)</f>
        <v>Professional Services</v>
      </c>
      <c r="G173" s="3" t="str">
        <f>VLOOKUP(E173, Ref_GLAccount!$A$2:$D$9, 3, FALSE)</f>
        <v>Professional Services</v>
      </c>
      <c r="H173" s="6" t="s">
        <v>70</v>
      </c>
      <c r="I173" s="7">
        <v>5200</v>
      </c>
      <c r="J173" s="18" t="b">
        <f>IF(tblFactFinance[[#This Row],[MonthStart]] &lt;= Inputs!$B$1, TRUE, FALSE)</f>
        <v>1</v>
      </c>
    </row>
    <row r="174" spans="1:10" x14ac:dyDescent="0.3">
      <c r="A174" s="15">
        <v>45717</v>
      </c>
      <c r="B174" s="17" t="s">
        <v>56</v>
      </c>
      <c r="C174" s="3" t="s">
        <v>1</v>
      </c>
      <c r="D174" s="3" t="str">
        <f>VLOOKUP(C174, Ref_Department!$A$2:$D$6, 2, FALSE)</f>
        <v>Branch Operations</v>
      </c>
      <c r="E174" s="3" t="s">
        <v>11</v>
      </c>
      <c r="F174" s="3" t="str">
        <f>VLOOKUP(E174, Ref_GLAccount!$A$2:$D$9, 2, FALSE)</f>
        <v>Office Supplies</v>
      </c>
      <c r="G174" s="3" t="str">
        <f>VLOOKUP(E174, Ref_GLAccount!$A$2:$D$9, 3, FALSE)</f>
        <v>Other OPEX</v>
      </c>
      <c r="H174" s="6" t="s">
        <v>66</v>
      </c>
      <c r="I174" s="7">
        <v>1634.47</v>
      </c>
      <c r="J174" s="18" t="b">
        <f>IF(tblFactFinance[[#This Row],[MonthStart]] &lt;= Inputs!$B$1, TRUE, FALSE)</f>
        <v>1</v>
      </c>
    </row>
    <row r="175" spans="1:10" x14ac:dyDescent="0.3">
      <c r="A175" s="15">
        <v>45717</v>
      </c>
      <c r="B175" s="17" t="s">
        <v>56</v>
      </c>
      <c r="C175" s="3" t="s">
        <v>1</v>
      </c>
      <c r="D175" s="3" t="str">
        <f>VLOOKUP(C175, Ref_Department!$A$2:$D$6, 2, FALSE)</f>
        <v>Branch Operations</v>
      </c>
      <c r="E175" s="3" t="s">
        <v>11</v>
      </c>
      <c r="F175" s="3" t="str">
        <f>VLOOKUP(E175, Ref_GLAccount!$A$2:$D$9, 2, FALSE)</f>
        <v>Office Supplies</v>
      </c>
      <c r="G175" s="3" t="str">
        <f>VLOOKUP(E175, Ref_GLAccount!$A$2:$D$9, 3, FALSE)</f>
        <v>Other OPEX</v>
      </c>
      <c r="H175" s="6" t="s">
        <v>70</v>
      </c>
      <c r="I175" s="7">
        <v>1560</v>
      </c>
      <c r="J175" s="18" t="b">
        <f>IF(tblFactFinance[[#This Row],[MonthStart]] &lt;= Inputs!$B$1, TRUE, FALSE)</f>
        <v>1</v>
      </c>
    </row>
    <row r="176" spans="1:10" x14ac:dyDescent="0.3">
      <c r="A176" s="15">
        <v>45717</v>
      </c>
      <c r="B176" s="17" t="s">
        <v>56</v>
      </c>
      <c r="C176" s="3" t="s">
        <v>1</v>
      </c>
      <c r="D176" s="3" t="str">
        <f>VLOOKUP(C176, Ref_Department!$A$2:$D$6, 2, FALSE)</f>
        <v>Branch Operations</v>
      </c>
      <c r="E176" s="3" t="s">
        <v>12</v>
      </c>
      <c r="F176" s="3" t="str">
        <f>VLOOKUP(E176, Ref_GLAccount!$A$2:$D$9, 2, FALSE)</f>
        <v>Training &amp; Development</v>
      </c>
      <c r="G176" s="3" t="str">
        <f>VLOOKUP(E176, Ref_GLAccount!$A$2:$D$9, 3, FALSE)</f>
        <v>Other OPEX</v>
      </c>
      <c r="H176" s="6" t="s">
        <v>66</v>
      </c>
      <c r="I176" s="7">
        <v>1247.08</v>
      </c>
      <c r="J176" s="18" t="b">
        <f>IF(tblFactFinance[[#This Row],[MonthStart]] &lt;= Inputs!$B$1, TRUE, FALSE)</f>
        <v>1</v>
      </c>
    </row>
    <row r="177" spans="1:10" x14ac:dyDescent="0.3">
      <c r="A177" s="15">
        <v>45717</v>
      </c>
      <c r="B177" s="17" t="s">
        <v>56</v>
      </c>
      <c r="C177" s="3" t="s">
        <v>1</v>
      </c>
      <c r="D177" s="3" t="str">
        <f>VLOOKUP(C177, Ref_Department!$A$2:$D$6, 2, FALSE)</f>
        <v>Branch Operations</v>
      </c>
      <c r="E177" s="3" t="s">
        <v>12</v>
      </c>
      <c r="F177" s="3" t="str">
        <f>VLOOKUP(E177, Ref_GLAccount!$A$2:$D$9, 2, FALSE)</f>
        <v>Training &amp; Development</v>
      </c>
      <c r="G177" s="3" t="str">
        <f>VLOOKUP(E177, Ref_GLAccount!$A$2:$D$9, 3, FALSE)</f>
        <v>Other OPEX</v>
      </c>
      <c r="H177" s="6" t="s">
        <v>70</v>
      </c>
      <c r="I177" s="7">
        <v>1248</v>
      </c>
      <c r="J177" s="18" t="b">
        <f>IF(tblFactFinance[[#This Row],[MonthStart]] &lt;= Inputs!$B$1, TRUE, FALSE)</f>
        <v>1</v>
      </c>
    </row>
    <row r="178" spans="1:10" x14ac:dyDescent="0.3">
      <c r="A178" s="15">
        <v>45717</v>
      </c>
      <c r="B178" s="17" t="s">
        <v>56</v>
      </c>
      <c r="C178" s="3" t="s">
        <v>2</v>
      </c>
      <c r="D178" s="3" t="str">
        <f>VLOOKUP(C178, Ref_Department!$A$2:$D$6, 2, FALSE)</f>
        <v>Lending</v>
      </c>
      <c r="E178" s="3" t="s">
        <v>33</v>
      </c>
      <c r="F178" s="3" t="str">
        <f>VLOOKUP(E178, Ref_GLAccount!$A$2:$D$9, 2, FALSE)</f>
        <v>Salaries</v>
      </c>
      <c r="G178" s="3" t="str">
        <f>VLOOKUP(E178, Ref_GLAccount!$A$2:$D$9, 3, FALSE)</f>
        <v>Personnel</v>
      </c>
      <c r="H178" s="6" t="s">
        <v>66</v>
      </c>
      <c r="I178" s="7">
        <v>174849.06</v>
      </c>
      <c r="J178" s="18" t="b">
        <f>IF(tblFactFinance[[#This Row],[MonthStart]] &lt;= Inputs!$B$1, TRUE, FALSE)</f>
        <v>1</v>
      </c>
    </row>
    <row r="179" spans="1:10" x14ac:dyDescent="0.3">
      <c r="A179" s="15">
        <v>45717</v>
      </c>
      <c r="B179" s="17" t="s">
        <v>56</v>
      </c>
      <c r="C179" s="3" t="s">
        <v>2</v>
      </c>
      <c r="D179" s="3" t="str">
        <f>VLOOKUP(C179, Ref_Department!$A$2:$D$6, 2, FALSE)</f>
        <v>Lending</v>
      </c>
      <c r="E179" s="3" t="s">
        <v>33</v>
      </c>
      <c r="F179" s="3" t="str">
        <f>VLOOKUP(E179, Ref_GLAccount!$A$2:$D$9, 2, FALSE)</f>
        <v>Salaries</v>
      </c>
      <c r="G179" s="3" t="str">
        <f>VLOOKUP(E179, Ref_GLAccount!$A$2:$D$9, 3, FALSE)</f>
        <v>Personnel</v>
      </c>
      <c r="H179" s="6" t="s">
        <v>70</v>
      </c>
      <c r="I179" s="7">
        <v>173040</v>
      </c>
      <c r="J179" s="18" t="b">
        <f>IF(tblFactFinance[[#This Row],[MonthStart]] &lt;= Inputs!$B$1, TRUE, FALSE)</f>
        <v>1</v>
      </c>
    </row>
    <row r="180" spans="1:10" x14ac:dyDescent="0.3">
      <c r="A180" s="15">
        <v>45717</v>
      </c>
      <c r="B180" s="17" t="s">
        <v>56</v>
      </c>
      <c r="C180" s="3" t="s">
        <v>2</v>
      </c>
      <c r="D180" s="3" t="str">
        <f>VLOOKUP(C180, Ref_Department!$A$2:$D$6, 2, FALSE)</f>
        <v>Lending</v>
      </c>
      <c r="E180" s="3" t="s">
        <v>37</v>
      </c>
      <c r="F180" s="3" t="str">
        <f>VLOOKUP(E180, Ref_GLAccount!$A$2:$D$9, 2, FALSE)</f>
        <v>Benefits</v>
      </c>
      <c r="G180" s="3" t="str">
        <f>VLOOKUP(E180, Ref_GLAccount!$A$2:$D$9, 3, FALSE)</f>
        <v>Personnel</v>
      </c>
      <c r="H180" s="6" t="s">
        <v>66</v>
      </c>
      <c r="I180" s="7">
        <v>38324.58</v>
      </c>
      <c r="J180" s="18" t="b">
        <f>IF(tblFactFinance[[#This Row],[MonthStart]] &lt;= Inputs!$B$1, TRUE, FALSE)</f>
        <v>1</v>
      </c>
    </row>
    <row r="181" spans="1:10" x14ac:dyDescent="0.3">
      <c r="A181" s="15">
        <v>45717</v>
      </c>
      <c r="B181" s="17" t="s">
        <v>56</v>
      </c>
      <c r="C181" s="3" t="s">
        <v>2</v>
      </c>
      <c r="D181" s="3" t="str">
        <f>VLOOKUP(C181, Ref_Department!$A$2:$D$6, 2, FALSE)</f>
        <v>Lending</v>
      </c>
      <c r="E181" s="3" t="s">
        <v>37</v>
      </c>
      <c r="F181" s="3" t="str">
        <f>VLOOKUP(E181, Ref_GLAccount!$A$2:$D$9, 2, FALSE)</f>
        <v>Benefits</v>
      </c>
      <c r="G181" s="3" t="str">
        <f>VLOOKUP(E181, Ref_GLAccount!$A$2:$D$9, 3, FALSE)</f>
        <v>Personnel</v>
      </c>
      <c r="H181" s="6" t="s">
        <v>70</v>
      </c>
      <c r="I181" s="7">
        <v>38068.800000000003</v>
      </c>
      <c r="J181" s="18" t="b">
        <f>IF(tblFactFinance[[#This Row],[MonthStart]] &lt;= Inputs!$B$1, TRUE, FALSE)</f>
        <v>1</v>
      </c>
    </row>
    <row r="182" spans="1:10" x14ac:dyDescent="0.3">
      <c r="A182" s="15">
        <v>45717</v>
      </c>
      <c r="B182" s="17" t="s">
        <v>56</v>
      </c>
      <c r="C182" s="3" t="s">
        <v>2</v>
      </c>
      <c r="D182" s="3" t="str">
        <f>VLOOKUP(C182, Ref_Department!$A$2:$D$6, 2, FALSE)</f>
        <v>Lending</v>
      </c>
      <c r="E182" s="3" t="s">
        <v>7</v>
      </c>
      <c r="F182" s="3" t="str">
        <f>VLOOKUP(E182, Ref_GLAccount!$A$2:$D$9, 2, FALSE)</f>
        <v>Occupancy &amp; Facilities</v>
      </c>
      <c r="G182" s="3" t="str">
        <f>VLOOKUP(E182, Ref_GLAccount!$A$2:$D$9, 3, FALSE)</f>
        <v>Facilities</v>
      </c>
      <c r="H182" s="6" t="s">
        <v>66</v>
      </c>
      <c r="I182" s="7">
        <v>16694.23</v>
      </c>
      <c r="J182" s="18" t="b">
        <f>IF(tblFactFinance[[#This Row],[MonthStart]] &lt;= Inputs!$B$1, TRUE, FALSE)</f>
        <v>1</v>
      </c>
    </row>
    <row r="183" spans="1:10" x14ac:dyDescent="0.3">
      <c r="A183" s="15">
        <v>45717</v>
      </c>
      <c r="B183" s="17" t="s">
        <v>56</v>
      </c>
      <c r="C183" s="3" t="s">
        <v>2</v>
      </c>
      <c r="D183" s="3" t="str">
        <f>VLOOKUP(C183, Ref_Department!$A$2:$D$6, 2, FALSE)</f>
        <v>Lending</v>
      </c>
      <c r="E183" s="3" t="s">
        <v>7</v>
      </c>
      <c r="F183" s="3" t="str">
        <f>VLOOKUP(E183, Ref_GLAccount!$A$2:$D$9, 2, FALSE)</f>
        <v>Occupancy &amp; Facilities</v>
      </c>
      <c r="G183" s="3" t="str">
        <f>VLOOKUP(E183, Ref_GLAccount!$A$2:$D$9, 3, FALSE)</f>
        <v>Facilities</v>
      </c>
      <c r="H183" s="6" t="s">
        <v>70</v>
      </c>
      <c r="I183" s="7">
        <v>16000</v>
      </c>
      <c r="J183" s="18" t="b">
        <f>IF(tblFactFinance[[#This Row],[MonthStart]] &lt;= Inputs!$B$1, TRUE, FALSE)</f>
        <v>1</v>
      </c>
    </row>
    <row r="184" spans="1:10" x14ac:dyDescent="0.3">
      <c r="A184" s="15">
        <v>45717</v>
      </c>
      <c r="B184" s="17" t="s">
        <v>56</v>
      </c>
      <c r="C184" s="3" t="s">
        <v>2</v>
      </c>
      <c r="D184" s="3" t="str">
        <f>VLOOKUP(C184, Ref_Department!$A$2:$D$6, 2, FALSE)</f>
        <v>Lending</v>
      </c>
      <c r="E184" s="3" t="s">
        <v>8</v>
      </c>
      <c r="F184" s="3" t="str">
        <f>VLOOKUP(E184, Ref_GLAccount!$A$2:$D$9, 2, FALSE)</f>
        <v>IT Software &amp; Subscriptions</v>
      </c>
      <c r="G184" s="3" t="str">
        <f>VLOOKUP(E184, Ref_GLAccount!$A$2:$D$9, 3, FALSE)</f>
        <v>IT</v>
      </c>
      <c r="H184" s="6" t="s">
        <v>66</v>
      </c>
      <c r="I184" s="7">
        <v>9694.4699999999993</v>
      </c>
      <c r="J184" s="18" t="b">
        <f>IF(tblFactFinance[[#This Row],[MonthStart]] &lt;= Inputs!$B$1, TRUE, FALSE)</f>
        <v>1</v>
      </c>
    </row>
    <row r="185" spans="1:10" x14ac:dyDescent="0.3">
      <c r="A185" s="15">
        <v>45717</v>
      </c>
      <c r="B185" s="17" t="s">
        <v>56</v>
      </c>
      <c r="C185" s="3" t="s">
        <v>2</v>
      </c>
      <c r="D185" s="3" t="str">
        <f>VLOOKUP(C185, Ref_Department!$A$2:$D$6, 2, FALSE)</f>
        <v>Lending</v>
      </c>
      <c r="E185" s="3" t="s">
        <v>8</v>
      </c>
      <c r="F185" s="3" t="str">
        <f>VLOOKUP(E185, Ref_GLAccount!$A$2:$D$9, 2, FALSE)</f>
        <v>IT Software &amp; Subscriptions</v>
      </c>
      <c r="G185" s="3" t="str">
        <f>VLOOKUP(E185, Ref_GLAccount!$A$2:$D$9, 3, FALSE)</f>
        <v>IT</v>
      </c>
      <c r="H185" s="6" t="s">
        <v>70</v>
      </c>
      <c r="I185" s="7">
        <v>9360</v>
      </c>
      <c r="J185" s="18" t="b">
        <f>IF(tblFactFinance[[#This Row],[MonthStart]] &lt;= Inputs!$B$1, TRUE, FALSE)</f>
        <v>1</v>
      </c>
    </row>
    <row r="186" spans="1:10" x14ac:dyDescent="0.3">
      <c r="A186" s="15">
        <v>45717</v>
      </c>
      <c r="B186" s="17" t="s">
        <v>56</v>
      </c>
      <c r="C186" s="3" t="s">
        <v>2</v>
      </c>
      <c r="D186" s="3" t="str">
        <f>VLOOKUP(C186, Ref_Department!$A$2:$D$6, 2, FALSE)</f>
        <v>Lending</v>
      </c>
      <c r="E186" s="3" t="s">
        <v>9</v>
      </c>
      <c r="F186" s="3" t="str">
        <f>VLOOKUP(E186, Ref_GLAccount!$A$2:$D$9, 2, FALSE)</f>
        <v>Marketing &amp; Advertising</v>
      </c>
      <c r="G186" s="3" t="str">
        <f>VLOOKUP(E186, Ref_GLAccount!$A$2:$D$9, 3, FALSE)</f>
        <v>Marketing</v>
      </c>
      <c r="H186" s="6" t="s">
        <v>66</v>
      </c>
      <c r="I186" s="7">
        <v>8200.81</v>
      </c>
      <c r="J186" s="18" t="b">
        <f>IF(tblFactFinance[[#This Row],[MonthStart]] &lt;= Inputs!$B$1, TRUE, FALSE)</f>
        <v>1</v>
      </c>
    </row>
    <row r="187" spans="1:10" x14ac:dyDescent="0.3">
      <c r="A187" s="15">
        <v>45717</v>
      </c>
      <c r="B187" s="17" t="s">
        <v>56</v>
      </c>
      <c r="C187" s="3" t="s">
        <v>2</v>
      </c>
      <c r="D187" s="3" t="str">
        <f>VLOOKUP(C187, Ref_Department!$A$2:$D$6, 2, FALSE)</f>
        <v>Lending</v>
      </c>
      <c r="E187" s="3" t="s">
        <v>9</v>
      </c>
      <c r="F187" s="3" t="str">
        <f>VLOOKUP(E187, Ref_GLAccount!$A$2:$D$9, 2, FALSE)</f>
        <v>Marketing &amp; Advertising</v>
      </c>
      <c r="G187" s="3" t="str">
        <f>VLOOKUP(E187, Ref_GLAccount!$A$2:$D$9, 3, FALSE)</f>
        <v>Marketing</v>
      </c>
      <c r="H187" s="6" t="s">
        <v>70</v>
      </c>
      <c r="I187" s="7">
        <v>8112</v>
      </c>
      <c r="J187" s="18" t="b">
        <f>IF(tblFactFinance[[#This Row],[MonthStart]] &lt;= Inputs!$B$1, TRUE, FALSE)</f>
        <v>1</v>
      </c>
    </row>
    <row r="188" spans="1:10" x14ac:dyDescent="0.3">
      <c r="A188" s="15">
        <v>45717</v>
      </c>
      <c r="B188" s="17" t="s">
        <v>56</v>
      </c>
      <c r="C188" s="3" t="s">
        <v>2</v>
      </c>
      <c r="D188" s="3" t="str">
        <f>VLOOKUP(C188, Ref_Department!$A$2:$D$6, 2, FALSE)</f>
        <v>Lending</v>
      </c>
      <c r="E188" s="3" t="s">
        <v>10</v>
      </c>
      <c r="F188" s="3" t="str">
        <f>VLOOKUP(E188, Ref_GLAccount!$A$2:$D$9, 2, FALSE)</f>
        <v>Professional Services</v>
      </c>
      <c r="G188" s="3" t="str">
        <f>VLOOKUP(E188, Ref_GLAccount!$A$2:$D$9, 3, FALSE)</f>
        <v>Professional Services</v>
      </c>
      <c r="H188" s="6" t="s">
        <v>66</v>
      </c>
      <c r="I188" s="7">
        <v>7983.56</v>
      </c>
      <c r="J188" s="18" t="b">
        <f>IF(tblFactFinance[[#This Row],[MonthStart]] &lt;= Inputs!$B$1, TRUE, FALSE)</f>
        <v>1</v>
      </c>
    </row>
    <row r="189" spans="1:10" x14ac:dyDescent="0.3">
      <c r="A189" s="15">
        <v>45717</v>
      </c>
      <c r="B189" s="17" t="s">
        <v>56</v>
      </c>
      <c r="C189" s="3" t="s">
        <v>2</v>
      </c>
      <c r="D189" s="3" t="str">
        <f>VLOOKUP(C189, Ref_Department!$A$2:$D$6, 2, FALSE)</f>
        <v>Lending</v>
      </c>
      <c r="E189" s="3" t="s">
        <v>10</v>
      </c>
      <c r="F189" s="3" t="str">
        <f>VLOOKUP(E189, Ref_GLAccount!$A$2:$D$9, 2, FALSE)</f>
        <v>Professional Services</v>
      </c>
      <c r="G189" s="3" t="str">
        <f>VLOOKUP(E189, Ref_GLAccount!$A$2:$D$9, 3, FALSE)</f>
        <v>Professional Services</v>
      </c>
      <c r="H189" s="6" t="s">
        <v>70</v>
      </c>
      <c r="I189" s="7">
        <v>8320</v>
      </c>
      <c r="J189" s="18" t="b">
        <f>IF(tblFactFinance[[#This Row],[MonthStart]] &lt;= Inputs!$B$1, TRUE, FALSE)</f>
        <v>1</v>
      </c>
    </row>
    <row r="190" spans="1:10" x14ac:dyDescent="0.3">
      <c r="A190" s="15">
        <v>45717</v>
      </c>
      <c r="B190" s="17" t="s">
        <v>56</v>
      </c>
      <c r="C190" s="3" t="s">
        <v>2</v>
      </c>
      <c r="D190" s="3" t="str">
        <f>VLOOKUP(C190, Ref_Department!$A$2:$D$6, 2, FALSE)</f>
        <v>Lending</v>
      </c>
      <c r="E190" s="3" t="s">
        <v>11</v>
      </c>
      <c r="F190" s="3" t="str">
        <f>VLOOKUP(E190, Ref_GLAccount!$A$2:$D$9, 2, FALSE)</f>
        <v>Office Supplies</v>
      </c>
      <c r="G190" s="3" t="str">
        <f>VLOOKUP(E190, Ref_GLAccount!$A$2:$D$9, 3, FALSE)</f>
        <v>Other OPEX</v>
      </c>
      <c r="H190" s="6" t="s">
        <v>66</v>
      </c>
      <c r="I190" s="7">
        <v>969.82</v>
      </c>
      <c r="J190" s="18" t="b">
        <f>IF(tblFactFinance[[#This Row],[MonthStart]] &lt;= Inputs!$B$1, TRUE, FALSE)</f>
        <v>1</v>
      </c>
    </row>
    <row r="191" spans="1:10" x14ac:dyDescent="0.3">
      <c r="A191" s="15">
        <v>45717</v>
      </c>
      <c r="B191" s="17" t="s">
        <v>56</v>
      </c>
      <c r="C191" s="3" t="s">
        <v>2</v>
      </c>
      <c r="D191" s="3" t="str">
        <f>VLOOKUP(C191, Ref_Department!$A$2:$D$6, 2, FALSE)</f>
        <v>Lending</v>
      </c>
      <c r="E191" s="3" t="s">
        <v>11</v>
      </c>
      <c r="F191" s="3" t="str">
        <f>VLOOKUP(E191, Ref_GLAccount!$A$2:$D$9, 2, FALSE)</f>
        <v>Office Supplies</v>
      </c>
      <c r="G191" s="3" t="str">
        <f>VLOOKUP(E191, Ref_GLAccount!$A$2:$D$9, 3, FALSE)</f>
        <v>Other OPEX</v>
      </c>
      <c r="H191" s="6" t="s">
        <v>70</v>
      </c>
      <c r="I191" s="7">
        <v>936</v>
      </c>
      <c r="J191" s="18" t="b">
        <f>IF(tblFactFinance[[#This Row],[MonthStart]] &lt;= Inputs!$B$1, TRUE, FALSE)</f>
        <v>1</v>
      </c>
    </row>
    <row r="192" spans="1:10" x14ac:dyDescent="0.3">
      <c r="A192" s="15">
        <v>45717</v>
      </c>
      <c r="B192" s="17" t="s">
        <v>56</v>
      </c>
      <c r="C192" s="3" t="s">
        <v>2</v>
      </c>
      <c r="D192" s="3" t="str">
        <f>VLOOKUP(C192, Ref_Department!$A$2:$D$6, 2, FALSE)</f>
        <v>Lending</v>
      </c>
      <c r="E192" s="3" t="s">
        <v>12</v>
      </c>
      <c r="F192" s="3" t="str">
        <f>VLOOKUP(E192, Ref_GLAccount!$A$2:$D$9, 2, FALSE)</f>
        <v>Training &amp; Development</v>
      </c>
      <c r="G192" s="3" t="str">
        <f>VLOOKUP(E192, Ref_GLAccount!$A$2:$D$9, 3, FALSE)</f>
        <v>Other OPEX</v>
      </c>
      <c r="H192" s="6" t="s">
        <v>66</v>
      </c>
      <c r="I192" s="7">
        <v>1478.19</v>
      </c>
      <c r="J192" s="18" t="b">
        <f>IF(tblFactFinance[[#This Row],[MonthStart]] &lt;= Inputs!$B$1, TRUE, FALSE)</f>
        <v>1</v>
      </c>
    </row>
    <row r="193" spans="1:10" x14ac:dyDescent="0.3">
      <c r="A193" s="15">
        <v>45717</v>
      </c>
      <c r="B193" s="17" t="s">
        <v>56</v>
      </c>
      <c r="C193" s="3" t="s">
        <v>2</v>
      </c>
      <c r="D193" s="3" t="str">
        <f>VLOOKUP(C193, Ref_Department!$A$2:$D$6, 2, FALSE)</f>
        <v>Lending</v>
      </c>
      <c r="E193" s="3" t="s">
        <v>12</v>
      </c>
      <c r="F193" s="3" t="str">
        <f>VLOOKUP(E193, Ref_GLAccount!$A$2:$D$9, 2, FALSE)</f>
        <v>Training &amp; Development</v>
      </c>
      <c r="G193" s="3" t="str">
        <f>VLOOKUP(E193, Ref_GLAccount!$A$2:$D$9, 3, FALSE)</f>
        <v>Other OPEX</v>
      </c>
      <c r="H193" s="6" t="s">
        <v>70</v>
      </c>
      <c r="I193" s="7">
        <v>1456</v>
      </c>
      <c r="J193" s="18" t="b">
        <f>IF(tblFactFinance[[#This Row],[MonthStart]] &lt;= Inputs!$B$1, TRUE, FALSE)</f>
        <v>1</v>
      </c>
    </row>
    <row r="194" spans="1:10" x14ac:dyDescent="0.3">
      <c r="A194" s="15">
        <v>45717</v>
      </c>
      <c r="B194" s="17" t="s">
        <v>56</v>
      </c>
      <c r="C194" s="3" t="s">
        <v>3</v>
      </c>
      <c r="D194" s="3" t="str">
        <f>VLOOKUP(C194, Ref_Department!$A$2:$D$6, 2, FALSE)</f>
        <v>Information Technology</v>
      </c>
      <c r="E194" s="3" t="s">
        <v>33</v>
      </c>
      <c r="F194" s="3" t="str">
        <f>VLOOKUP(E194, Ref_GLAccount!$A$2:$D$9, 2, FALSE)</f>
        <v>Salaries</v>
      </c>
      <c r="G194" s="3" t="str">
        <f>VLOOKUP(E194, Ref_GLAccount!$A$2:$D$9, 3, FALSE)</f>
        <v>Personnel</v>
      </c>
      <c r="H194" s="6" t="s">
        <v>66</v>
      </c>
      <c r="I194" s="7">
        <v>158840.85</v>
      </c>
      <c r="J194" s="18" t="b">
        <f>IF(tblFactFinance[[#This Row],[MonthStart]] &lt;= Inputs!$B$1, TRUE, FALSE)</f>
        <v>1</v>
      </c>
    </row>
    <row r="195" spans="1:10" x14ac:dyDescent="0.3">
      <c r="A195" s="15">
        <v>45717</v>
      </c>
      <c r="B195" s="17" t="s">
        <v>56</v>
      </c>
      <c r="C195" s="3" t="s">
        <v>3</v>
      </c>
      <c r="D195" s="3" t="str">
        <f>VLOOKUP(C195, Ref_Department!$A$2:$D$6, 2, FALSE)</f>
        <v>Information Technology</v>
      </c>
      <c r="E195" s="3" t="s">
        <v>33</v>
      </c>
      <c r="F195" s="3" t="str">
        <f>VLOOKUP(E195, Ref_GLAccount!$A$2:$D$9, 2, FALSE)</f>
        <v>Salaries</v>
      </c>
      <c r="G195" s="3" t="str">
        <f>VLOOKUP(E195, Ref_GLAccount!$A$2:$D$9, 3, FALSE)</f>
        <v>Personnel</v>
      </c>
      <c r="H195" s="6" t="s">
        <v>70</v>
      </c>
      <c r="I195" s="7">
        <v>151410</v>
      </c>
      <c r="J195" s="18" t="b">
        <f>IF(tblFactFinance[[#This Row],[MonthStart]] &lt;= Inputs!$B$1, TRUE, FALSE)</f>
        <v>1</v>
      </c>
    </row>
    <row r="196" spans="1:10" x14ac:dyDescent="0.3">
      <c r="A196" s="15">
        <v>45717</v>
      </c>
      <c r="B196" s="17" t="s">
        <v>56</v>
      </c>
      <c r="C196" s="3" t="s">
        <v>3</v>
      </c>
      <c r="D196" s="3" t="str">
        <f>VLOOKUP(C196, Ref_Department!$A$2:$D$6, 2, FALSE)</f>
        <v>Information Technology</v>
      </c>
      <c r="E196" s="3" t="s">
        <v>37</v>
      </c>
      <c r="F196" s="3" t="str">
        <f>VLOOKUP(E196, Ref_GLAccount!$A$2:$D$9, 2, FALSE)</f>
        <v>Benefits</v>
      </c>
      <c r="G196" s="3" t="str">
        <f>VLOOKUP(E196, Ref_GLAccount!$A$2:$D$9, 3, FALSE)</f>
        <v>Personnel</v>
      </c>
      <c r="H196" s="6" t="s">
        <v>66</v>
      </c>
      <c r="I196" s="7">
        <v>33270.35</v>
      </c>
      <c r="J196" s="18" t="b">
        <f>IF(tblFactFinance[[#This Row],[MonthStart]] &lt;= Inputs!$B$1, TRUE, FALSE)</f>
        <v>1</v>
      </c>
    </row>
    <row r="197" spans="1:10" x14ac:dyDescent="0.3">
      <c r="A197" s="15">
        <v>45717</v>
      </c>
      <c r="B197" s="17" t="s">
        <v>56</v>
      </c>
      <c r="C197" s="3" t="s">
        <v>3</v>
      </c>
      <c r="D197" s="3" t="str">
        <f>VLOOKUP(C197, Ref_Department!$A$2:$D$6, 2, FALSE)</f>
        <v>Information Technology</v>
      </c>
      <c r="E197" s="3" t="s">
        <v>37</v>
      </c>
      <c r="F197" s="3" t="str">
        <f>VLOOKUP(E197, Ref_GLAccount!$A$2:$D$9, 2, FALSE)</f>
        <v>Benefits</v>
      </c>
      <c r="G197" s="3" t="str">
        <f>VLOOKUP(E197, Ref_GLAccount!$A$2:$D$9, 3, FALSE)</f>
        <v>Personnel</v>
      </c>
      <c r="H197" s="6" t="s">
        <v>70</v>
      </c>
      <c r="I197" s="7">
        <v>33310.199999999997</v>
      </c>
      <c r="J197" s="18" t="b">
        <f>IF(tblFactFinance[[#This Row],[MonthStart]] &lt;= Inputs!$B$1, TRUE, FALSE)</f>
        <v>1</v>
      </c>
    </row>
    <row r="198" spans="1:10" x14ac:dyDescent="0.3">
      <c r="A198" s="15">
        <v>45717</v>
      </c>
      <c r="B198" s="17" t="s">
        <v>56</v>
      </c>
      <c r="C198" s="3" t="s">
        <v>3</v>
      </c>
      <c r="D198" s="3" t="str">
        <f>VLOOKUP(C198, Ref_Department!$A$2:$D$6, 2, FALSE)</f>
        <v>Information Technology</v>
      </c>
      <c r="E198" s="3" t="s">
        <v>7</v>
      </c>
      <c r="F198" s="3" t="str">
        <f>VLOOKUP(E198, Ref_GLAccount!$A$2:$D$9, 2, FALSE)</f>
        <v>Occupancy &amp; Facilities</v>
      </c>
      <c r="G198" s="3" t="str">
        <f>VLOOKUP(E198, Ref_GLAccount!$A$2:$D$9, 3, FALSE)</f>
        <v>Facilities</v>
      </c>
      <c r="H198" s="6" t="s">
        <v>66</v>
      </c>
      <c r="I198" s="7">
        <v>9703.1200000000008</v>
      </c>
      <c r="J198" s="18" t="b">
        <f>IF(tblFactFinance[[#This Row],[MonthStart]] &lt;= Inputs!$B$1, TRUE, FALSE)</f>
        <v>1</v>
      </c>
    </row>
    <row r="199" spans="1:10" x14ac:dyDescent="0.3">
      <c r="A199" s="15">
        <v>45717</v>
      </c>
      <c r="B199" s="17" t="s">
        <v>56</v>
      </c>
      <c r="C199" s="3" t="s">
        <v>3</v>
      </c>
      <c r="D199" s="3" t="str">
        <f>VLOOKUP(C199, Ref_Department!$A$2:$D$6, 2, FALSE)</f>
        <v>Information Technology</v>
      </c>
      <c r="E199" s="3" t="s">
        <v>7</v>
      </c>
      <c r="F199" s="3" t="str">
        <f>VLOOKUP(E199, Ref_GLAccount!$A$2:$D$9, 2, FALSE)</f>
        <v>Occupancy &amp; Facilities</v>
      </c>
      <c r="G199" s="3" t="str">
        <f>VLOOKUP(E199, Ref_GLAccount!$A$2:$D$9, 3, FALSE)</f>
        <v>Facilities</v>
      </c>
      <c r="H199" s="6" t="s">
        <v>70</v>
      </c>
      <c r="I199" s="7">
        <v>9000</v>
      </c>
      <c r="J199" s="18" t="b">
        <f>IF(tblFactFinance[[#This Row],[MonthStart]] &lt;= Inputs!$B$1, TRUE, FALSE)</f>
        <v>1</v>
      </c>
    </row>
    <row r="200" spans="1:10" x14ac:dyDescent="0.3">
      <c r="A200" s="15">
        <v>45717</v>
      </c>
      <c r="B200" s="17" t="s">
        <v>56</v>
      </c>
      <c r="C200" s="3" t="s">
        <v>3</v>
      </c>
      <c r="D200" s="3" t="str">
        <f>VLOOKUP(C200, Ref_Department!$A$2:$D$6, 2, FALSE)</f>
        <v>Information Technology</v>
      </c>
      <c r="E200" s="3" t="s">
        <v>8</v>
      </c>
      <c r="F200" s="3" t="str">
        <f>VLOOKUP(E200, Ref_GLAccount!$A$2:$D$9, 2, FALSE)</f>
        <v>IT Software &amp; Subscriptions</v>
      </c>
      <c r="G200" s="3" t="str">
        <f>VLOOKUP(E200, Ref_GLAccount!$A$2:$D$9, 3, FALSE)</f>
        <v>IT</v>
      </c>
      <c r="H200" s="6" t="s">
        <v>66</v>
      </c>
      <c r="I200" s="7">
        <v>43052.97</v>
      </c>
      <c r="J200" s="18" t="b">
        <f>IF(tblFactFinance[[#This Row],[MonthStart]] &lt;= Inputs!$B$1, TRUE, FALSE)</f>
        <v>1</v>
      </c>
    </row>
    <row r="201" spans="1:10" x14ac:dyDescent="0.3">
      <c r="A201" s="15">
        <v>45717</v>
      </c>
      <c r="B201" s="17" t="s">
        <v>56</v>
      </c>
      <c r="C201" s="3" t="s">
        <v>3</v>
      </c>
      <c r="D201" s="3" t="str">
        <f>VLOOKUP(C201, Ref_Department!$A$2:$D$6, 2, FALSE)</f>
        <v>Information Technology</v>
      </c>
      <c r="E201" s="3" t="s">
        <v>8</v>
      </c>
      <c r="F201" s="3" t="str">
        <f>VLOOKUP(E201, Ref_GLAccount!$A$2:$D$9, 2, FALSE)</f>
        <v>IT Software &amp; Subscriptions</v>
      </c>
      <c r="G201" s="3" t="str">
        <f>VLOOKUP(E201, Ref_GLAccount!$A$2:$D$9, 3, FALSE)</f>
        <v>IT</v>
      </c>
      <c r="H201" s="6" t="s">
        <v>70</v>
      </c>
      <c r="I201" s="7">
        <v>43680</v>
      </c>
      <c r="J201" s="18" t="b">
        <f>IF(tblFactFinance[[#This Row],[MonthStart]] &lt;= Inputs!$B$1, TRUE, FALSE)</f>
        <v>1</v>
      </c>
    </row>
    <row r="202" spans="1:10" x14ac:dyDescent="0.3">
      <c r="A202" s="15">
        <v>45717</v>
      </c>
      <c r="B202" s="17" t="s">
        <v>56</v>
      </c>
      <c r="C202" s="3" t="s">
        <v>3</v>
      </c>
      <c r="D202" s="3" t="str">
        <f>VLOOKUP(C202, Ref_Department!$A$2:$D$6, 2, FALSE)</f>
        <v>Information Technology</v>
      </c>
      <c r="E202" s="3" t="s">
        <v>9</v>
      </c>
      <c r="F202" s="3" t="str">
        <f>VLOOKUP(E202, Ref_GLAccount!$A$2:$D$9, 2, FALSE)</f>
        <v>Marketing &amp; Advertising</v>
      </c>
      <c r="G202" s="3" t="str">
        <f>VLOOKUP(E202, Ref_GLAccount!$A$2:$D$9, 3, FALSE)</f>
        <v>Marketing</v>
      </c>
      <c r="H202" s="6" t="s">
        <v>66</v>
      </c>
      <c r="I202" s="7">
        <v>2157.23</v>
      </c>
      <c r="J202" s="18" t="b">
        <f>IF(tblFactFinance[[#This Row],[MonthStart]] &lt;= Inputs!$B$1, TRUE, FALSE)</f>
        <v>1</v>
      </c>
    </row>
    <row r="203" spans="1:10" x14ac:dyDescent="0.3">
      <c r="A203" s="15">
        <v>45717</v>
      </c>
      <c r="B203" s="17" t="s">
        <v>56</v>
      </c>
      <c r="C203" s="3" t="s">
        <v>3</v>
      </c>
      <c r="D203" s="3" t="str">
        <f>VLOOKUP(C203, Ref_Department!$A$2:$D$6, 2, FALSE)</f>
        <v>Information Technology</v>
      </c>
      <c r="E203" s="3" t="s">
        <v>9</v>
      </c>
      <c r="F203" s="3" t="str">
        <f>VLOOKUP(E203, Ref_GLAccount!$A$2:$D$9, 2, FALSE)</f>
        <v>Marketing &amp; Advertising</v>
      </c>
      <c r="G203" s="3" t="str">
        <f>VLOOKUP(E203, Ref_GLAccount!$A$2:$D$9, 3, FALSE)</f>
        <v>Marketing</v>
      </c>
      <c r="H203" s="6" t="s">
        <v>70</v>
      </c>
      <c r="I203" s="7">
        <v>2028</v>
      </c>
      <c r="J203" s="18" t="b">
        <f>IF(tblFactFinance[[#This Row],[MonthStart]] &lt;= Inputs!$B$1, TRUE, FALSE)</f>
        <v>1</v>
      </c>
    </row>
    <row r="204" spans="1:10" x14ac:dyDescent="0.3">
      <c r="A204" s="15">
        <v>45717</v>
      </c>
      <c r="B204" s="17" t="s">
        <v>56</v>
      </c>
      <c r="C204" s="3" t="s">
        <v>3</v>
      </c>
      <c r="D204" s="3" t="str">
        <f>VLOOKUP(C204, Ref_Department!$A$2:$D$6, 2, FALSE)</f>
        <v>Information Technology</v>
      </c>
      <c r="E204" s="3" t="s">
        <v>10</v>
      </c>
      <c r="F204" s="3" t="str">
        <f>VLOOKUP(E204, Ref_GLAccount!$A$2:$D$9, 2, FALSE)</f>
        <v>Professional Services</v>
      </c>
      <c r="G204" s="3" t="str">
        <f>VLOOKUP(E204, Ref_GLAccount!$A$2:$D$9, 3, FALSE)</f>
        <v>Professional Services</v>
      </c>
      <c r="H204" s="6" t="s">
        <v>66</v>
      </c>
      <c r="I204" s="7">
        <v>12537.47</v>
      </c>
      <c r="J204" s="18" t="b">
        <f>IF(tblFactFinance[[#This Row],[MonthStart]] &lt;= Inputs!$B$1, TRUE, FALSE)</f>
        <v>1</v>
      </c>
    </row>
    <row r="205" spans="1:10" x14ac:dyDescent="0.3">
      <c r="A205" s="15">
        <v>45717</v>
      </c>
      <c r="B205" s="17" t="s">
        <v>56</v>
      </c>
      <c r="C205" s="3" t="s">
        <v>3</v>
      </c>
      <c r="D205" s="3" t="str">
        <f>VLOOKUP(C205, Ref_Department!$A$2:$D$6, 2, FALSE)</f>
        <v>Information Technology</v>
      </c>
      <c r="E205" s="3" t="s">
        <v>10</v>
      </c>
      <c r="F205" s="3" t="str">
        <f>VLOOKUP(E205, Ref_GLAccount!$A$2:$D$9, 2, FALSE)</f>
        <v>Professional Services</v>
      </c>
      <c r="G205" s="3" t="str">
        <f>VLOOKUP(E205, Ref_GLAccount!$A$2:$D$9, 3, FALSE)</f>
        <v>Professional Services</v>
      </c>
      <c r="H205" s="6" t="s">
        <v>70</v>
      </c>
      <c r="I205" s="7">
        <v>12480</v>
      </c>
      <c r="J205" s="18" t="b">
        <f>IF(tblFactFinance[[#This Row],[MonthStart]] &lt;= Inputs!$B$1, TRUE, FALSE)</f>
        <v>1</v>
      </c>
    </row>
    <row r="206" spans="1:10" x14ac:dyDescent="0.3">
      <c r="A206" s="15">
        <v>45717</v>
      </c>
      <c r="B206" s="17" t="s">
        <v>56</v>
      </c>
      <c r="C206" s="3" t="s">
        <v>3</v>
      </c>
      <c r="D206" s="3" t="str">
        <f>VLOOKUP(C206, Ref_Department!$A$2:$D$6, 2, FALSE)</f>
        <v>Information Technology</v>
      </c>
      <c r="E206" s="3" t="s">
        <v>11</v>
      </c>
      <c r="F206" s="3" t="str">
        <f>VLOOKUP(E206, Ref_GLAccount!$A$2:$D$9, 2, FALSE)</f>
        <v>Office Supplies</v>
      </c>
      <c r="G206" s="3" t="str">
        <f>VLOOKUP(E206, Ref_GLAccount!$A$2:$D$9, 3, FALSE)</f>
        <v>Other OPEX</v>
      </c>
      <c r="H206" s="6" t="s">
        <v>66</v>
      </c>
      <c r="I206" s="7">
        <v>814.82</v>
      </c>
      <c r="J206" s="18" t="b">
        <f>IF(tblFactFinance[[#This Row],[MonthStart]] &lt;= Inputs!$B$1, TRUE, FALSE)</f>
        <v>1</v>
      </c>
    </row>
    <row r="207" spans="1:10" x14ac:dyDescent="0.3">
      <c r="A207" s="15">
        <v>45717</v>
      </c>
      <c r="B207" s="17" t="s">
        <v>56</v>
      </c>
      <c r="C207" s="3" t="s">
        <v>3</v>
      </c>
      <c r="D207" s="3" t="str">
        <f>VLOOKUP(C207, Ref_Department!$A$2:$D$6, 2, FALSE)</f>
        <v>Information Technology</v>
      </c>
      <c r="E207" s="3" t="s">
        <v>11</v>
      </c>
      <c r="F207" s="3" t="str">
        <f>VLOOKUP(E207, Ref_GLAccount!$A$2:$D$9, 2, FALSE)</f>
        <v>Office Supplies</v>
      </c>
      <c r="G207" s="3" t="str">
        <f>VLOOKUP(E207, Ref_GLAccount!$A$2:$D$9, 3, FALSE)</f>
        <v>Other OPEX</v>
      </c>
      <c r="H207" s="6" t="s">
        <v>70</v>
      </c>
      <c r="I207" s="7">
        <v>832</v>
      </c>
      <c r="J207" s="18" t="b">
        <f>IF(tblFactFinance[[#This Row],[MonthStart]] &lt;= Inputs!$B$1, TRUE, FALSE)</f>
        <v>1</v>
      </c>
    </row>
    <row r="208" spans="1:10" x14ac:dyDescent="0.3">
      <c r="A208" s="15">
        <v>45717</v>
      </c>
      <c r="B208" s="17" t="s">
        <v>56</v>
      </c>
      <c r="C208" s="3" t="s">
        <v>3</v>
      </c>
      <c r="D208" s="3" t="str">
        <f>VLOOKUP(C208, Ref_Department!$A$2:$D$6, 2, FALSE)</f>
        <v>Information Technology</v>
      </c>
      <c r="E208" s="3" t="s">
        <v>12</v>
      </c>
      <c r="F208" s="3" t="str">
        <f>VLOOKUP(E208, Ref_GLAccount!$A$2:$D$9, 2, FALSE)</f>
        <v>Training &amp; Development</v>
      </c>
      <c r="G208" s="3" t="str">
        <f>VLOOKUP(E208, Ref_GLAccount!$A$2:$D$9, 3, FALSE)</f>
        <v>Other OPEX</v>
      </c>
      <c r="H208" s="6" t="s">
        <v>66</v>
      </c>
      <c r="I208" s="7">
        <v>1787.5</v>
      </c>
      <c r="J208" s="18" t="b">
        <f>IF(tblFactFinance[[#This Row],[MonthStart]] &lt;= Inputs!$B$1, TRUE, FALSE)</f>
        <v>1</v>
      </c>
    </row>
    <row r="209" spans="1:10" x14ac:dyDescent="0.3">
      <c r="A209" s="15">
        <v>45717</v>
      </c>
      <c r="B209" s="17" t="s">
        <v>56</v>
      </c>
      <c r="C209" s="3" t="s">
        <v>3</v>
      </c>
      <c r="D209" s="3" t="str">
        <f>VLOOKUP(C209, Ref_Department!$A$2:$D$6, 2, FALSE)</f>
        <v>Information Technology</v>
      </c>
      <c r="E209" s="3" t="s">
        <v>12</v>
      </c>
      <c r="F209" s="3" t="str">
        <f>VLOOKUP(E209, Ref_GLAccount!$A$2:$D$9, 2, FALSE)</f>
        <v>Training &amp; Development</v>
      </c>
      <c r="G209" s="3" t="str">
        <f>VLOOKUP(E209, Ref_GLAccount!$A$2:$D$9, 3, FALSE)</f>
        <v>Other OPEX</v>
      </c>
      <c r="H209" s="6" t="s">
        <v>70</v>
      </c>
      <c r="I209" s="7">
        <v>1872</v>
      </c>
      <c r="J209" s="18" t="b">
        <f>IF(tblFactFinance[[#This Row],[MonthStart]] &lt;= Inputs!$B$1, TRUE, FALSE)</f>
        <v>1</v>
      </c>
    </row>
    <row r="210" spans="1:10" x14ac:dyDescent="0.3">
      <c r="A210" s="15">
        <v>45717</v>
      </c>
      <c r="B210" s="17" t="s">
        <v>56</v>
      </c>
      <c r="C210" s="3" t="s">
        <v>4</v>
      </c>
      <c r="D210" s="3" t="str">
        <f>VLOOKUP(C210, Ref_Department!$A$2:$D$6, 2, FALSE)</f>
        <v>Marketing</v>
      </c>
      <c r="E210" s="3" t="s">
        <v>33</v>
      </c>
      <c r="F210" s="3" t="str">
        <f>VLOOKUP(E210, Ref_GLAccount!$A$2:$D$9, 2, FALSE)</f>
        <v>Salaries</v>
      </c>
      <c r="G210" s="3" t="str">
        <f>VLOOKUP(E210, Ref_GLAccount!$A$2:$D$9, 3, FALSE)</f>
        <v>Personnel</v>
      </c>
      <c r="H210" s="6" t="s">
        <v>66</v>
      </c>
      <c r="I210" s="7">
        <v>63986.1</v>
      </c>
      <c r="J210" s="18" t="b">
        <f>IF(tblFactFinance[[#This Row],[MonthStart]] &lt;= Inputs!$B$1, TRUE, FALSE)</f>
        <v>1</v>
      </c>
    </row>
    <row r="211" spans="1:10" x14ac:dyDescent="0.3">
      <c r="A211" s="15">
        <v>45717</v>
      </c>
      <c r="B211" s="17" t="s">
        <v>56</v>
      </c>
      <c r="C211" s="3" t="s">
        <v>4</v>
      </c>
      <c r="D211" s="3" t="str">
        <f>VLOOKUP(C211, Ref_Department!$A$2:$D$6, 2, FALSE)</f>
        <v>Marketing</v>
      </c>
      <c r="E211" s="3" t="s">
        <v>33</v>
      </c>
      <c r="F211" s="3" t="str">
        <f>VLOOKUP(E211, Ref_GLAccount!$A$2:$D$9, 2, FALSE)</f>
        <v>Salaries</v>
      </c>
      <c r="G211" s="3" t="str">
        <f>VLOOKUP(E211, Ref_GLAccount!$A$2:$D$9, 3, FALSE)</f>
        <v>Personnel</v>
      </c>
      <c r="H211" s="6" t="s">
        <v>70</v>
      </c>
      <c r="I211" s="7">
        <v>64375</v>
      </c>
      <c r="J211" s="18" t="b">
        <f>IF(tblFactFinance[[#This Row],[MonthStart]] &lt;= Inputs!$B$1, TRUE, FALSE)</f>
        <v>1</v>
      </c>
    </row>
    <row r="212" spans="1:10" x14ac:dyDescent="0.3">
      <c r="A212" s="15">
        <v>45717</v>
      </c>
      <c r="B212" s="17" t="s">
        <v>56</v>
      </c>
      <c r="C212" s="3" t="s">
        <v>4</v>
      </c>
      <c r="D212" s="3" t="str">
        <f>VLOOKUP(C212, Ref_Department!$A$2:$D$6, 2, FALSE)</f>
        <v>Marketing</v>
      </c>
      <c r="E212" s="3" t="s">
        <v>37</v>
      </c>
      <c r="F212" s="3" t="str">
        <f>VLOOKUP(E212, Ref_GLAccount!$A$2:$D$9, 2, FALSE)</f>
        <v>Benefits</v>
      </c>
      <c r="G212" s="3" t="str">
        <f>VLOOKUP(E212, Ref_GLAccount!$A$2:$D$9, 3, FALSE)</f>
        <v>Personnel</v>
      </c>
      <c r="H212" s="6" t="s">
        <v>66</v>
      </c>
      <c r="I212" s="7">
        <v>14968.81</v>
      </c>
      <c r="J212" s="18" t="b">
        <f>IF(tblFactFinance[[#This Row],[MonthStart]] &lt;= Inputs!$B$1, TRUE, FALSE)</f>
        <v>1</v>
      </c>
    </row>
    <row r="213" spans="1:10" x14ac:dyDescent="0.3">
      <c r="A213" s="15">
        <v>45717</v>
      </c>
      <c r="B213" s="17" t="s">
        <v>56</v>
      </c>
      <c r="C213" s="3" t="s">
        <v>4</v>
      </c>
      <c r="D213" s="3" t="str">
        <f>VLOOKUP(C213, Ref_Department!$A$2:$D$6, 2, FALSE)</f>
        <v>Marketing</v>
      </c>
      <c r="E213" s="3" t="s">
        <v>37</v>
      </c>
      <c r="F213" s="3" t="str">
        <f>VLOOKUP(E213, Ref_GLAccount!$A$2:$D$9, 2, FALSE)</f>
        <v>Benefits</v>
      </c>
      <c r="G213" s="3" t="str">
        <f>VLOOKUP(E213, Ref_GLAccount!$A$2:$D$9, 3, FALSE)</f>
        <v>Personnel</v>
      </c>
      <c r="H213" s="6" t="s">
        <v>70</v>
      </c>
      <c r="I213" s="7">
        <v>14162.5</v>
      </c>
      <c r="J213" s="18" t="b">
        <f>IF(tblFactFinance[[#This Row],[MonthStart]] &lt;= Inputs!$B$1, TRUE, FALSE)</f>
        <v>1</v>
      </c>
    </row>
    <row r="214" spans="1:10" x14ac:dyDescent="0.3">
      <c r="A214" s="15">
        <v>45717</v>
      </c>
      <c r="B214" s="17" t="s">
        <v>56</v>
      </c>
      <c r="C214" s="3" t="s">
        <v>4</v>
      </c>
      <c r="D214" s="3" t="str">
        <f>VLOOKUP(C214, Ref_Department!$A$2:$D$6, 2, FALSE)</f>
        <v>Marketing</v>
      </c>
      <c r="E214" s="3" t="s">
        <v>7</v>
      </c>
      <c r="F214" s="3" t="str">
        <f>VLOOKUP(E214, Ref_GLAccount!$A$2:$D$9, 2, FALSE)</f>
        <v>Occupancy &amp; Facilities</v>
      </c>
      <c r="G214" s="3" t="str">
        <f>VLOOKUP(E214, Ref_GLAccount!$A$2:$D$9, 3, FALSE)</f>
        <v>Facilities</v>
      </c>
      <c r="H214" s="6" t="s">
        <v>66</v>
      </c>
      <c r="I214" s="7">
        <v>6195.93</v>
      </c>
      <c r="J214" s="18" t="b">
        <f>IF(tblFactFinance[[#This Row],[MonthStart]] &lt;= Inputs!$B$1, TRUE, FALSE)</f>
        <v>1</v>
      </c>
    </row>
    <row r="215" spans="1:10" x14ac:dyDescent="0.3">
      <c r="A215" s="15">
        <v>45717</v>
      </c>
      <c r="B215" s="17" t="s">
        <v>56</v>
      </c>
      <c r="C215" s="3" t="s">
        <v>4</v>
      </c>
      <c r="D215" s="3" t="str">
        <f>VLOOKUP(C215, Ref_Department!$A$2:$D$6, 2, FALSE)</f>
        <v>Marketing</v>
      </c>
      <c r="E215" s="3" t="s">
        <v>7</v>
      </c>
      <c r="F215" s="3" t="str">
        <f>VLOOKUP(E215, Ref_GLAccount!$A$2:$D$9, 2, FALSE)</f>
        <v>Occupancy &amp; Facilities</v>
      </c>
      <c r="G215" s="3" t="str">
        <f>VLOOKUP(E215, Ref_GLAccount!$A$2:$D$9, 3, FALSE)</f>
        <v>Facilities</v>
      </c>
      <c r="H215" s="6" t="s">
        <v>70</v>
      </c>
      <c r="I215" s="7">
        <v>6000</v>
      </c>
      <c r="J215" s="18" t="b">
        <f>IF(tblFactFinance[[#This Row],[MonthStart]] &lt;= Inputs!$B$1, TRUE, FALSE)</f>
        <v>1</v>
      </c>
    </row>
    <row r="216" spans="1:10" x14ac:dyDescent="0.3">
      <c r="A216" s="15">
        <v>45717</v>
      </c>
      <c r="B216" s="17" t="s">
        <v>56</v>
      </c>
      <c r="C216" s="3" t="s">
        <v>4</v>
      </c>
      <c r="D216" s="3" t="str">
        <f>VLOOKUP(C216, Ref_Department!$A$2:$D$6, 2, FALSE)</f>
        <v>Marketing</v>
      </c>
      <c r="E216" s="3" t="s">
        <v>8</v>
      </c>
      <c r="F216" s="3" t="str">
        <f>VLOOKUP(E216, Ref_GLAccount!$A$2:$D$9, 2, FALSE)</f>
        <v>IT Software &amp; Subscriptions</v>
      </c>
      <c r="G216" s="3" t="str">
        <f>VLOOKUP(E216, Ref_GLAccount!$A$2:$D$9, 3, FALSE)</f>
        <v>IT</v>
      </c>
      <c r="H216" s="6" t="s">
        <v>66</v>
      </c>
      <c r="I216" s="7">
        <v>7480.6</v>
      </c>
      <c r="J216" s="18" t="b">
        <f>IF(tblFactFinance[[#This Row],[MonthStart]] &lt;= Inputs!$B$1, TRUE, FALSE)</f>
        <v>1</v>
      </c>
    </row>
    <row r="217" spans="1:10" x14ac:dyDescent="0.3">
      <c r="A217" s="15">
        <v>45717</v>
      </c>
      <c r="B217" s="17" t="s">
        <v>56</v>
      </c>
      <c r="C217" s="3" t="s">
        <v>4</v>
      </c>
      <c r="D217" s="3" t="str">
        <f>VLOOKUP(C217, Ref_Department!$A$2:$D$6, 2, FALSE)</f>
        <v>Marketing</v>
      </c>
      <c r="E217" s="3" t="s">
        <v>8</v>
      </c>
      <c r="F217" s="3" t="str">
        <f>VLOOKUP(E217, Ref_GLAccount!$A$2:$D$9, 2, FALSE)</f>
        <v>IT Software &amp; Subscriptions</v>
      </c>
      <c r="G217" s="3" t="str">
        <f>VLOOKUP(E217, Ref_GLAccount!$A$2:$D$9, 3, FALSE)</f>
        <v>IT</v>
      </c>
      <c r="H217" s="6" t="s">
        <v>70</v>
      </c>
      <c r="I217" s="7">
        <v>7280</v>
      </c>
      <c r="J217" s="18" t="b">
        <f>IF(tblFactFinance[[#This Row],[MonthStart]] &lt;= Inputs!$B$1, TRUE, FALSE)</f>
        <v>1</v>
      </c>
    </row>
    <row r="218" spans="1:10" x14ac:dyDescent="0.3">
      <c r="A218" s="15">
        <v>45717</v>
      </c>
      <c r="B218" s="17" t="s">
        <v>56</v>
      </c>
      <c r="C218" s="3" t="s">
        <v>4</v>
      </c>
      <c r="D218" s="3" t="str">
        <f>VLOOKUP(C218, Ref_Department!$A$2:$D$6, 2, FALSE)</f>
        <v>Marketing</v>
      </c>
      <c r="E218" s="3" t="s">
        <v>9</v>
      </c>
      <c r="F218" s="3" t="str">
        <f>VLOOKUP(E218, Ref_GLAccount!$A$2:$D$9, 2, FALSE)</f>
        <v>Marketing &amp; Advertising</v>
      </c>
      <c r="G218" s="3" t="str">
        <f>VLOOKUP(E218, Ref_GLAccount!$A$2:$D$9, 3, FALSE)</f>
        <v>Marketing</v>
      </c>
      <c r="H218" s="6" t="s">
        <v>66</v>
      </c>
      <c r="I218" s="7">
        <v>34258.36</v>
      </c>
      <c r="J218" s="18" t="b">
        <f>IF(tblFactFinance[[#This Row],[MonthStart]] &lt;= Inputs!$B$1, TRUE, FALSE)</f>
        <v>1</v>
      </c>
    </row>
    <row r="219" spans="1:10" x14ac:dyDescent="0.3">
      <c r="A219" s="15">
        <v>45717</v>
      </c>
      <c r="B219" s="17" t="s">
        <v>56</v>
      </c>
      <c r="C219" s="3" t="s">
        <v>4</v>
      </c>
      <c r="D219" s="3" t="str">
        <f>VLOOKUP(C219, Ref_Department!$A$2:$D$6, 2, FALSE)</f>
        <v>Marketing</v>
      </c>
      <c r="E219" s="3" t="s">
        <v>9</v>
      </c>
      <c r="F219" s="3" t="str">
        <f>VLOOKUP(E219, Ref_GLAccount!$A$2:$D$9, 2, FALSE)</f>
        <v>Marketing &amp; Advertising</v>
      </c>
      <c r="G219" s="3" t="str">
        <f>VLOOKUP(E219, Ref_GLAccount!$A$2:$D$9, 3, FALSE)</f>
        <v>Marketing</v>
      </c>
      <c r="H219" s="6" t="s">
        <v>70</v>
      </c>
      <c r="I219" s="7">
        <v>37856</v>
      </c>
      <c r="J219" s="18" t="b">
        <f>IF(tblFactFinance[[#This Row],[MonthStart]] &lt;= Inputs!$B$1, TRUE, FALSE)</f>
        <v>1</v>
      </c>
    </row>
    <row r="220" spans="1:10" x14ac:dyDescent="0.3">
      <c r="A220" s="15">
        <v>45717</v>
      </c>
      <c r="B220" s="17" t="s">
        <v>56</v>
      </c>
      <c r="C220" s="3" t="s">
        <v>4</v>
      </c>
      <c r="D220" s="3" t="str">
        <f>VLOOKUP(C220, Ref_Department!$A$2:$D$6, 2, FALSE)</f>
        <v>Marketing</v>
      </c>
      <c r="E220" s="3" t="s">
        <v>10</v>
      </c>
      <c r="F220" s="3" t="str">
        <f>VLOOKUP(E220, Ref_GLAccount!$A$2:$D$9, 2, FALSE)</f>
        <v>Professional Services</v>
      </c>
      <c r="G220" s="3" t="str">
        <f>VLOOKUP(E220, Ref_GLAccount!$A$2:$D$9, 3, FALSE)</f>
        <v>Professional Services</v>
      </c>
      <c r="H220" s="6" t="s">
        <v>66</v>
      </c>
      <c r="I220" s="7">
        <v>6417.46</v>
      </c>
      <c r="J220" s="18" t="b">
        <f>IF(tblFactFinance[[#This Row],[MonthStart]] &lt;= Inputs!$B$1, TRUE, FALSE)</f>
        <v>1</v>
      </c>
    </row>
    <row r="221" spans="1:10" x14ac:dyDescent="0.3">
      <c r="A221" s="15">
        <v>45717</v>
      </c>
      <c r="B221" s="17" t="s">
        <v>56</v>
      </c>
      <c r="C221" s="3" t="s">
        <v>4</v>
      </c>
      <c r="D221" s="3" t="str">
        <f>VLOOKUP(C221, Ref_Department!$A$2:$D$6, 2, FALSE)</f>
        <v>Marketing</v>
      </c>
      <c r="E221" s="3" t="s">
        <v>10</v>
      </c>
      <c r="F221" s="3" t="str">
        <f>VLOOKUP(E221, Ref_GLAccount!$A$2:$D$9, 2, FALSE)</f>
        <v>Professional Services</v>
      </c>
      <c r="G221" s="3" t="str">
        <f>VLOOKUP(E221, Ref_GLAccount!$A$2:$D$9, 3, FALSE)</f>
        <v>Professional Services</v>
      </c>
      <c r="H221" s="6" t="s">
        <v>70</v>
      </c>
      <c r="I221" s="7">
        <v>6240</v>
      </c>
      <c r="J221" s="18" t="b">
        <f>IF(tblFactFinance[[#This Row],[MonthStart]] &lt;= Inputs!$B$1, TRUE, FALSE)</f>
        <v>1</v>
      </c>
    </row>
    <row r="222" spans="1:10" x14ac:dyDescent="0.3">
      <c r="A222" s="15">
        <v>45717</v>
      </c>
      <c r="B222" s="17" t="s">
        <v>56</v>
      </c>
      <c r="C222" s="3" t="s">
        <v>4</v>
      </c>
      <c r="D222" s="3" t="str">
        <f>VLOOKUP(C222, Ref_Department!$A$2:$D$6, 2, FALSE)</f>
        <v>Marketing</v>
      </c>
      <c r="E222" s="3" t="s">
        <v>11</v>
      </c>
      <c r="F222" s="3" t="str">
        <f>VLOOKUP(E222, Ref_GLAccount!$A$2:$D$9, 2, FALSE)</f>
        <v>Office Supplies</v>
      </c>
      <c r="G222" s="3" t="str">
        <f>VLOOKUP(E222, Ref_GLAccount!$A$2:$D$9, 3, FALSE)</f>
        <v>Other OPEX</v>
      </c>
      <c r="H222" s="6" t="s">
        <v>66</v>
      </c>
      <c r="I222" s="7">
        <v>744.19</v>
      </c>
      <c r="J222" s="18" t="b">
        <f>IF(tblFactFinance[[#This Row],[MonthStart]] &lt;= Inputs!$B$1, TRUE, FALSE)</f>
        <v>1</v>
      </c>
    </row>
    <row r="223" spans="1:10" x14ac:dyDescent="0.3">
      <c r="A223" s="15">
        <v>45717</v>
      </c>
      <c r="B223" s="17" t="s">
        <v>56</v>
      </c>
      <c r="C223" s="3" t="s">
        <v>4</v>
      </c>
      <c r="D223" s="3" t="str">
        <f>VLOOKUP(C223, Ref_Department!$A$2:$D$6, 2, FALSE)</f>
        <v>Marketing</v>
      </c>
      <c r="E223" s="3" t="s">
        <v>11</v>
      </c>
      <c r="F223" s="3" t="str">
        <f>VLOOKUP(E223, Ref_GLAccount!$A$2:$D$9, 2, FALSE)</f>
        <v>Office Supplies</v>
      </c>
      <c r="G223" s="3" t="str">
        <f>VLOOKUP(E223, Ref_GLAccount!$A$2:$D$9, 3, FALSE)</f>
        <v>Other OPEX</v>
      </c>
      <c r="H223" s="6" t="s">
        <v>70</v>
      </c>
      <c r="I223" s="7">
        <v>728</v>
      </c>
      <c r="J223" s="18" t="b">
        <f>IF(tblFactFinance[[#This Row],[MonthStart]] &lt;= Inputs!$B$1, TRUE, FALSE)</f>
        <v>1</v>
      </c>
    </row>
    <row r="224" spans="1:10" x14ac:dyDescent="0.3">
      <c r="A224" s="15">
        <v>45717</v>
      </c>
      <c r="B224" s="17" t="s">
        <v>56</v>
      </c>
      <c r="C224" s="3" t="s">
        <v>4</v>
      </c>
      <c r="D224" s="3" t="str">
        <f>VLOOKUP(C224, Ref_Department!$A$2:$D$6, 2, FALSE)</f>
        <v>Marketing</v>
      </c>
      <c r="E224" s="3" t="s">
        <v>12</v>
      </c>
      <c r="F224" s="3" t="str">
        <f>VLOOKUP(E224, Ref_GLAccount!$A$2:$D$9, 2, FALSE)</f>
        <v>Training &amp; Development</v>
      </c>
      <c r="G224" s="3" t="str">
        <f>VLOOKUP(E224, Ref_GLAccount!$A$2:$D$9, 3, FALSE)</f>
        <v>Other OPEX</v>
      </c>
      <c r="H224" s="6" t="s">
        <v>66</v>
      </c>
      <c r="I224" s="7">
        <v>1118.8399999999999</v>
      </c>
      <c r="J224" s="18" t="b">
        <f>IF(tblFactFinance[[#This Row],[MonthStart]] &lt;= Inputs!$B$1, TRUE, FALSE)</f>
        <v>1</v>
      </c>
    </row>
    <row r="225" spans="1:10" x14ac:dyDescent="0.3">
      <c r="A225" s="15">
        <v>45717</v>
      </c>
      <c r="B225" s="17" t="s">
        <v>56</v>
      </c>
      <c r="C225" s="3" t="s">
        <v>4</v>
      </c>
      <c r="D225" s="3" t="str">
        <f>VLOOKUP(C225, Ref_Department!$A$2:$D$6, 2, FALSE)</f>
        <v>Marketing</v>
      </c>
      <c r="E225" s="3" t="s">
        <v>12</v>
      </c>
      <c r="F225" s="3" t="str">
        <f>VLOOKUP(E225, Ref_GLAccount!$A$2:$D$9, 2, FALSE)</f>
        <v>Training &amp; Development</v>
      </c>
      <c r="G225" s="3" t="str">
        <f>VLOOKUP(E225, Ref_GLAccount!$A$2:$D$9, 3, FALSE)</f>
        <v>Other OPEX</v>
      </c>
      <c r="H225" s="6" t="s">
        <v>70</v>
      </c>
      <c r="I225" s="7">
        <v>1144</v>
      </c>
      <c r="J225" s="18" t="b">
        <f>IF(tblFactFinance[[#This Row],[MonthStart]] &lt;= Inputs!$B$1, TRUE, FALSE)</f>
        <v>1</v>
      </c>
    </row>
    <row r="226" spans="1:10" x14ac:dyDescent="0.3">
      <c r="A226" s="15">
        <v>45717</v>
      </c>
      <c r="B226" s="17" t="s">
        <v>56</v>
      </c>
      <c r="C226" s="3" t="s">
        <v>5</v>
      </c>
      <c r="D226" s="3" t="str">
        <f>VLOOKUP(C226, Ref_Department!$A$2:$D$6, 2, FALSE)</f>
        <v>Human Resources</v>
      </c>
      <c r="E226" s="3" t="s">
        <v>33</v>
      </c>
      <c r="F226" s="3" t="str">
        <f>VLOOKUP(E226, Ref_GLAccount!$A$2:$D$9, 2, FALSE)</f>
        <v>Salaries</v>
      </c>
      <c r="G226" s="3" t="str">
        <f>VLOOKUP(E226, Ref_GLAccount!$A$2:$D$9, 3, FALSE)</f>
        <v>Personnel</v>
      </c>
      <c r="H226" s="6" t="s">
        <v>66</v>
      </c>
      <c r="I226" s="7">
        <v>52215.89</v>
      </c>
      <c r="J226" s="18" t="b">
        <f>IF(tblFactFinance[[#This Row],[MonthStart]] &lt;= Inputs!$B$1, TRUE, FALSE)</f>
        <v>1</v>
      </c>
    </row>
    <row r="227" spans="1:10" x14ac:dyDescent="0.3">
      <c r="A227" s="15">
        <v>45717</v>
      </c>
      <c r="B227" s="17" t="s">
        <v>56</v>
      </c>
      <c r="C227" s="3" t="s">
        <v>5</v>
      </c>
      <c r="D227" s="3" t="str">
        <f>VLOOKUP(C227, Ref_Department!$A$2:$D$6, 2, FALSE)</f>
        <v>Human Resources</v>
      </c>
      <c r="E227" s="3" t="s">
        <v>33</v>
      </c>
      <c r="F227" s="3" t="str">
        <f>VLOOKUP(E227, Ref_GLAccount!$A$2:$D$9, 2, FALSE)</f>
        <v>Salaries</v>
      </c>
      <c r="G227" s="3" t="str">
        <f>VLOOKUP(E227, Ref_GLAccount!$A$2:$D$9, 3, FALSE)</f>
        <v>Personnel</v>
      </c>
      <c r="H227" s="6" t="s">
        <v>70</v>
      </c>
      <c r="I227" s="7">
        <v>53560</v>
      </c>
      <c r="J227" s="18" t="b">
        <f>IF(tblFactFinance[[#This Row],[MonthStart]] &lt;= Inputs!$B$1, TRUE, FALSE)</f>
        <v>1</v>
      </c>
    </row>
    <row r="228" spans="1:10" x14ac:dyDescent="0.3">
      <c r="A228" s="15">
        <v>45717</v>
      </c>
      <c r="B228" s="17" t="s">
        <v>56</v>
      </c>
      <c r="C228" s="3" t="s">
        <v>5</v>
      </c>
      <c r="D228" s="3" t="str">
        <f>VLOOKUP(C228, Ref_Department!$A$2:$D$6, 2, FALSE)</f>
        <v>Human Resources</v>
      </c>
      <c r="E228" s="3" t="s">
        <v>37</v>
      </c>
      <c r="F228" s="3" t="str">
        <f>VLOOKUP(E228, Ref_GLAccount!$A$2:$D$9, 2, FALSE)</f>
        <v>Benefits</v>
      </c>
      <c r="G228" s="3" t="str">
        <f>VLOOKUP(E228, Ref_GLAccount!$A$2:$D$9, 3, FALSE)</f>
        <v>Personnel</v>
      </c>
      <c r="H228" s="6" t="s">
        <v>66</v>
      </c>
      <c r="I228" s="7">
        <v>11782.11</v>
      </c>
      <c r="J228" s="18" t="b">
        <f>IF(tblFactFinance[[#This Row],[MonthStart]] &lt;= Inputs!$B$1, TRUE, FALSE)</f>
        <v>1</v>
      </c>
    </row>
    <row r="229" spans="1:10" x14ac:dyDescent="0.3">
      <c r="A229" s="15">
        <v>45717</v>
      </c>
      <c r="B229" s="17" t="s">
        <v>56</v>
      </c>
      <c r="C229" s="3" t="s">
        <v>5</v>
      </c>
      <c r="D229" s="3" t="str">
        <f>VLOOKUP(C229, Ref_Department!$A$2:$D$6, 2, FALSE)</f>
        <v>Human Resources</v>
      </c>
      <c r="E229" s="3" t="s">
        <v>37</v>
      </c>
      <c r="F229" s="3" t="str">
        <f>VLOOKUP(E229, Ref_GLAccount!$A$2:$D$9, 2, FALSE)</f>
        <v>Benefits</v>
      </c>
      <c r="G229" s="3" t="str">
        <f>VLOOKUP(E229, Ref_GLAccount!$A$2:$D$9, 3, FALSE)</f>
        <v>Personnel</v>
      </c>
      <c r="H229" s="6" t="s">
        <v>70</v>
      </c>
      <c r="I229" s="7">
        <v>11783.2</v>
      </c>
      <c r="J229" s="18" t="b">
        <f>IF(tblFactFinance[[#This Row],[MonthStart]] &lt;= Inputs!$B$1, TRUE, FALSE)</f>
        <v>1</v>
      </c>
    </row>
    <row r="230" spans="1:10" x14ac:dyDescent="0.3">
      <c r="A230" s="15">
        <v>45717</v>
      </c>
      <c r="B230" s="17" t="s">
        <v>56</v>
      </c>
      <c r="C230" s="3" t="s">
        <v>5</v>
      </c>
      <c r="D230" s="3" t="str">
        <f>VLOOKUP(C230, Ref_Department!$A$2:$D$6, 2, FALSE)</f>
        <v>Human Resources</v>
      </c>
      <c r="E230" s="3" t="s">
        <v>7</v>
      </c>
      <c r="F230" s="3" t="str">
        <f>VLOOKUP(E230, Ref_GLAccount!$A$2:$D$9, 2, FALSE)</f>
        <v>Occupancy &amp; Facilities</v>
      </c>
      <c r="G230" s="3" t="str">
        <f>VLOOKUP(E230, Ref_GLAccount!$A$2:$D$9, 3, FALSE)</f>
        <v>Facilities</v>
      </c>
      <c r="H230" s="6" t="s">
        <v>66</v>
      </c>
      <c r="I230" s="7">
        <v>4275.9799999999996</v>
      </c>
      <c r="J230" s="18" t="b">
        <f>IF(tblFactFinance[[#This Row],[MonthStart]] &lt;= Inputs!$B$1, TRUE, FALSE)</f>
        <v>1</v>
      </c>
    </row>
    <row r="231" spans="1:10" x14ac:dyDescent="0.3">
      <c r="A231" s="15">
        <v>45717</v>
      </c>
      <c r="B231" s="17" t="s">
        <v>56</v>
      </c>
      <c r="C231" s="3" t="s">
        <v>5</v>
      </c>
      <c r="D231" s="3" t="str">
        <f>VLOOKUP(C231, Ref_Department!$A$2:$D$6, 2, FALSE)</f>
        <v>Human Resources</v>
      </c>
      <c r="E231" s="3" t="s">
        <v>7</v>
      </c>
      <c r="F231" s="3" t="str">
        <f>VLOOKUP(E231, Ref_GLAccount!$A$2:$D$9, 2, FALSE)</f>
        <v>Occupancy &amp; Facilities</v>
      </c>
      <c r="G231" s="3" t="str">
        <f>VLOOKUP(E231, Ref_GLAccount!$A$2:$D$9, 3, FALSE)</f>
        <v>Facilities</v>
      </c>
      <c r="H231" s="6" t="s">
        <v>70</v>
      </c>
      <c r="I231" s="7">
        <v>4000</v>
      </c>
      <c r="J231" s="18" t="b">
        <f>IF(tblFactFinance[[#This Row],[MonthStart]] &lt;= Inputs!$B$1, TRUE, FALSE)</f>
        <v>1</v>
      </c>
    </row>
    <row r="232" spans="1:10" x14ac:dyDescent="0.3">
      <c r="A232" s="15">
        <v>45717</v>
      </c>
      <c r="B232" s="17" t="s">
        <v>56</v>
      </c>
      <c r="C232" s="3" t="s">
        <v>5</v>
      </c>
      <c r="D232" s="3" t="str">
        <f>VLOOKUP(C232, Ref_Department!$A$2:$D$6, 2, FALSE)</f>
        <v>Human Resources</v>
      </c>
      <c r="E232" s="3" t="s">
        <v>8</v>
      </c>
      <c r="F232" s="3" t="str">
        <f>VLOOKUP(E232, Ref_GLAccount!$A$2:$D$9, 2, FALSE)</f>
        <v>IT Software &amp; Subscriptions</v>
      </c>
      <c r="G232" s="3" t="str">
        <f>VLOOKUP(E232, Ref_GLAccount!$A$2:$D$9, 3, FALSE)</f>
        <v>IT</v>
      </c>
      <c r="H232" s="6" t="s">
        <v>66</v>
      </c>
      <c r="I232" s="7">
        <v>4980.54</v>
      </c>
      <c r="J232" s="18" t="b">
        <f>IF(tblFactFinance[[#This Row],[MonthStart]] &lt;= Inputs!$B$1, TRUE, FALSE)</f>
        <v>1</v>
      </c>
    </row>
    <row r="233" spans="1:10" x14ac:dyDescent="0.3">
      <c r="A233" s="15">
        <v>45717</v>
      </c>
      <c r="B233" s="17" t="s">
        <v>56</v>
      </c>
      <c r="C233" s="3" t="s">
        <v>5</v>
      </c>
      <c r="D233" s="3" t="str">
        <f>VLOOKUP(C233, Ref_Department!$A$2:$D$6, 2, FALSE)</f>
        <v>Human Resources</v>
      </c>
      <c r="E233" s="3" t="s">
        <v>8</v>
      </c>
      <c r="F233" s="3" t="str">
        <f>VLOOKUP(E233, Ref_GLAccount!$A$2:$D$9, 2, FALSE)</f>
        <v>IT Software &amp; Subscriptions</v>
      </c>
      <c r="G233" s="3" t="str">
        <f>VLOOKUP(E233, Ref_GLAccount!$A$2:$D$9, 3, FALSE)</f>
        <v>IT</v>
      </c>
      <c r="H233" s="6" t="s">
        <v>70</v>
      </c>
      <c r="I233" s="7">
        <v>5200</v>
      </c>
      <c r="J233" s="18" t="b">
        <f>IF(tblFactFinance[[#This Row],[MonthStart]] &lt;= Inputs!$B$1, TRUE, FALSE)</f>
        <v>1</v>
      </c>
    </row>
    <row r="234" spans="1:10" x14ac:dyDescent="0.3">
      <c r="A234" s="15">
        <v>45717</v>
      </c>
      <c r="B234" s="17" t="s">
        <v>56</v>
      </c>
      <c r="C234" s="3" t="s">
        <v>5</v>
      </c>
      <c r="D234" s="3" t="str">
        <f>VLOOKUP(C234, Ref_Department!$A$2:$D$6, 2, FALSE)</f>
        <v>Human Resources</v>
      </c>
      <c r="E234" s="3" t="s">
        <v>9</v>
      </c>
      <c r="F234" s="3" t="str">
        <f>VLOOKUP(E234, Ref_GLAccount!$A$2:$D$9, 2, FALSE)</f>
        <v>Marketing &amp; Advertising</v>
      </c>
      <c r="G234" s="3" t="str">
        <f>VLOOKUP(E234, Ref_GLAccount!$A$2:$D$9, 3, FALSE)</f>
        <v>Marketing</v>
      </c>
      <c r="H234" s="6" t="s">
        <v>66</v>
      </c>
      <c r="I234" s="7">
        <v>1594.64</v>
      </c>
      <c r="J234" s="18" t="b">
        <f>IF(tblFactFinance[[#This Row],[MonthStart]] &lt;= Inputs!$B$1, TRUE, FALSE)</f>
        <v>1</v>
      </c>
    </row>
    <row r="235" spans="1:10" x14ac:dyDescent="0.3">
      <c r="A235" s="15">
        <v>45717</v>
      </c>
      <c r="B235" s="17" t="s">
        <v>56</v>
      </c>
      <c r="C235" s="3" t="s">
        <v>5</v>
      </c>
      <c r="D235" s="3" t="str">
        <f>VLOOKUP(C235, Ref_Department!$A$2:$D$6, 2, FALSE)</f>
        <v>Human Resources</v>
      </c>
      <c r="E235" s="3" t="s">
        <v>9</v>
      </c>
      <c r="F235" s="3" t="str">
        <f>VLOOKUP(E235, Ref_GLAccount!$A$2:$D$9, 2, FALSE)</f>
        <v>Marketing &amp; Advertising</v>
      </c>
      <c r="G235" s="3" t="str">
        <f>VLOOKUP(E235, Ref_GLAccount!$A$2:$D$9, 3, FALSE)</f>
        <v>Marketing</v>
      </c>
      <c r="H235" s="6" t="s">
        <v>70</v>
      </c>
      <c r="I235" s="7">
        <v>1622.4</v>
      </c>
      <c r="J235" s="18" t="b">
        <f>IF(tblFactFinance[[#This Row],[MonthStart]] &lt;= Inputs!$B$1, TRUE, FALSE)</f>
        <v>1</v>
      </c>
    </row>
    <row r="236" spans="1:10" x14ac:dyDescent="0.3">
      <c r="A236" s="15">
        <v>45717</v>
      </c>
      <c r="B236" s="17" t="s">
        <v>56</v>
      </c>
      <c r="C236" s="3" t="s">
        <v>5</v>
      </c>
      <c r="D236" s="3" t="str">
        <f>VLOOKUP(C236, Ref_Department!$A$2:$D$6, 2, FALSE)</f>
        <v>Human Resources</v>
      </c>
      <c r="E236" s="3" t="s">
        <v>10</v>
      </c>
      <c r="F236" s="3" t="str">
        <f>VLOOKUP(E236, Ref_GLAccount!$A$2:$D$9, 2, FALSE)</f>
        <v>Professional Services</v>
      </c>
      <c r="G236" s="3" t="str">
        <f>VLOOKUP(E236, Ref_GLAccount!$A$2:$D$9, 3, FALSE)</f>
        <v>Professional Services</v>
      </c>
      <c r="H236" s="6" t="s">
        <v>66</v>
      </c>
      <c r="I236" s="7">
        <v>3838.28</v>
      </c>
      <c r="J236" s="18" t="b">
        <f>IF(tblFactFinance[[#This Row],[MonthStart]] &lt;= Inputs!$B$1, TRUE, FALSE)</f>
        <v>1</v>
      </c>
    </row>
    <row r="237" spans="1:10" x14ac:dyDescent="0.3">
      <c r="A237" s="15">
        <v>45717</v>
      </c>
      <c r="B237" s="17" t="s">
        <v>56</v>
      </c>
      <c r="C237" s="3" t="s">
        <v>5</v>
      </c>
      <c r="D237" s="3" t="str">
        <f>VLOOKUP(C237, Ref_Department!$A$2:$D$6, 2, FALSE)</f>
        <v>Human Resources</v>
      </c>
      <c r="E237" s="3" t="s">
        <v>10</v>
      </c>
      <c r="F237" s="3" t="str">
        <f>VLOOKUP(E237, Ref_GLAccount!$A$2:$D$9, 2, FALSE)</f>
        <v>Professional Services</v>
      </c>
      <c r="G237" s="3" t="str">
        <f>VLOOKUP(E237, Ref_GLAccount!$A$2:$D$9, 3, FALSE)</f>
        <v>Professional Services</v>
      </c>
      <c r="H237" s="6" t="s">
        <v>70</v>
      </c>
      <c r="I237" s="7">
        <v>3640</v>
      </c>
      <c r="J237" s="18" t="b">
        <f>IF(tblFactFinance[[#This Row],[MonthStart]] &lt;= Inputs!$B$1, TRUE, FALSE)</f>
        <v>1</v>
      </c>
    </row>
    <row r="238" spans="1:10" x14ac:dyDescent="0.3">
      <c r="A238" s="15">
        <v>45717</v>
      </c>
      <c r="B238" s="17" t="s">
        <v>56</v>
      </c>
      <c r="C238" s="3" t="s">
        <v>5</v>
      </c>
      <c r="D238" s="3" t="str">
        <f>VLOOKUP(C238, Ref_Department!$A$2:$D$6, 2, FALSE)</f>
        <v>Human Resources</v>
      </c>
      <c r="E238" s="3" t="s">
        <v>11</v>
      </c>
      <c r="F238" s="3" t="str">
        <f>VLOOKUP(E238, Ref_GLAccount!$A$2:$D$9, 2, FALSE)</f>
        <v>Office Supplies</v>
      </c>
      <c r="G238" s="3" t="str">
        <f>VLOOKUP(E238, Ref_GLAccount!$A$2:$D$9, 3, FALSE)</f>
        <v>Other OPEX</v>
      </c>
      <c r="H238" s="6" t="s">
        <v>66</v>
      </c>
      <c r="I238" s="7">
        <v>612.86</v>
      </c>
      <c r="J238" s="18" t="b">
        <f>IF(tblFactFinance[[#This Row],[MonthStart]] &lt;= Inputs!$B$1, TRUE, FALSE)</f>
        <v>1</v>
      </c>
    </row>
    <row r="239" spans="1:10" x14ac:dyDescent="0.3">
      <c r="A239" s="15">
        <v>45717</v>
      </c>
      <c r="B239" s="17" t="s">
        <v>56</v>
      </c>
      <c r="C239" s="3" t="s">
        <v>5</v>
      </c>
      <c r="D239" s="3" t="str">
        <f>VLOOKUP(C239, Ref_Department!$A$2:$D$6, 2, FALSE)</f>
        <v>Human Resources</v>
      </c>
      <c r="E239" s="3" t="s">
        <v>11</v>
      </c>
      <c r="F239" s="3" t="str">
        <f>VLOOKUP(E239, Ref_GLAccount!$A$2:$D$9, 2, FALSE)</f>
        <v>Office Supplies</v>
      </c>
      <c r="G239" s="3" t="str">
        <f>VLOOKUP(E239, Ref_GLAccount!$A$2:$D$9, 3, FALSE)</f>
        <v>Other OPEX</v>
      </c>
      <c r="H239" s="6" t="s">
        <v>70</v>
      </c>
      <c r="I239" s="7">
        <v>624</v>
      </c>
      <c r="J239" s="18" t="b">
        <f>IF(tblFactFinance[[#This Row],[MonthStart]] &lt;= Inputs!$B$1, TRUE, FALSE)</f>
        <v>1</v>
      </c>
    </row>
    <row r="240" spans="1:10" x14ac:dyDescent="0.3">
      <c r="A240" s="15">
        <v>45717</v>
      </c>
      <c r="B240" s="17" t="s">
        <v>56</v>
      </c>
      <c r="C240" s="3" t="s">
        <v>5</v>
      </c>
      <c r="D240" s="3" t="str">
        <f>VLOOKUP(C240, Ref_Department!$A$2:$D$6, 2, FALSE)</f>
        <v>Human Resources</v>
      </c>
      <c r="E240" s="3" t="s">
        <v>12</v>
      </c>
      <c r="F240" s="3" t="str">
        <f>VLOOKUP(E240, Ref_GLAccount!$A$2:$D$9, 2, FALSE)</f>
        <v>Training &amp; Development</v>
      </c>
      <c r="G240" s="3" t="str">
        <f>VLOOKUP(E240, Ref_GLAccount!$A$2:$D$9, 3, FALSE)</f>
        <v>Other OPEX</v>
      </c>
      <c r="H240" s="6" t="s">
        <v>66</v>
      </c>
      <c r="I240" s="7">
        <v>1639.76</v>
      </c>
      <c r="J240" s="18" t="b">
        <f>IF(tblFactFinance[[#This Row],[MonthStart]] &lt;= Inputs!$B$1, TRUE, FALSE)</f>
        <v>1</v>
      </c>
    </row>
    <row r="241" spans="1:10" x14ac:dyDescent="0.3">
      <c r="A241" s="15">
        <v>45717</v>
      </c>
      <c r="B241" s="17" t="s">
        <v>56</v>
      </c>
      <c r="C241" s="3" t="s">
        <v>5</v>
      </c>
      <c r="D241" s="3" t="str">
        <f>VLOOKUP(C241, Ref_Department!$A$2:$D$6, 2, FALSE)</f>
        <v>Human Resources</v>
      </c>
      <c r="E241" s="3" t="s">
        <v>12</v>
      </c>
      <c r="F241" s="3" t="str">
        <f>VLOOKUP(E241, Ref_GLAccount!$A$2:$D$9, 2, FALSE)</f>
        <v>Training &amp; Development</v>
      </c>
      <c r="G241" s="3" t="str">
        <f>VLOOKUP(E241, Ref_GLAccount!$A$2:$D$9, 3, FALSE)</f>
        <v>Other OPEX</v>
      </c>
      <c r="H241" s="6" t="s">
        <v>70</v>
      </c>
      <c r="I241" s="7">
        <v>1664</v>
      </c>
      <c r="J241" s="18" t="b">
        <f>IF(tblFactFinance[[#This Row],[MonthStart]] &lt;= Inputs!$B$1, TRUE, FALSE)</f>
        <v>1</v>
      </c>
    </row>
    <row r="242" spans="1:10" x14ac:dyDescent="0.3">
      <c r="A242" s="15">
        <v>45748</v>
      </c>
      <c r="B242" s="17" t="s">
        <v>57</v>
      </c>
      <c r="C242" s="3" t="s">
        <v>1</v>
      </c>
      <c r="D242" s="3" t="str">
        <f>VLOOKUP(C242, Ref_Department!$A$2:$D$6, 2, FALSE)</f>
        <v>Branch Operations</v>
      </c>
      <c r="E242" s="3" t="s">
        <v>33</v>
      </c>
      <c r="F242" s="3" t="str">
        <f>VLOOKUP(E242, Ref_GLAccount!$A$2:$D$9, 2, FALSE)</f>
        <v>Salaries</v>
      </c>
      <c r="G242" s="3" t="str">
        <f>VLOOKUP(E242, Ref_GLAccount!$A$2:$D$9, 3, FALSE)</f>
        <v>Personnel</v>
      </c>
      <c r="H242" s="6" t="s">
        <v>66</v>
      </c>
      <c r="I242" s="7">
        <v>201635.54</v>
      </c>
      <c r="J242" s="18" t="b">
        <f>IF(tblFactFinance[[#This Row],[MonthStart]] &lt;= Inputs!$B$1, TRUE, FALSE)</f>
        <v>1</v>
      </c>
    </row>
    <row r="243" spans="1:10" x14ac:dyDescent="0.3">
      <c r="A243" s="15">
        <v>45748</v>
      </c>
      <c r="B243" s="17" t="s">
        <v>57</v>
      </c>
      <c r="C243" s="3" t="s">
        <v>1</v>
      </c>
      <c r="D243" s="3" t="str">
        <f>VLOOKUP(C243, Ref_Department!$A$2:$D$6, 2, FALSE)</f>
        <v>Branch Operations</v>
      </c>
      <c r="E243" s="3" t="s">
        <v>33</v>
      </c>
      <c r="F243" s="3" t="str">
        <f>VLOOKUP(E243, Ref_GLAccount!$A$2:$D$9, 2, FALSE)</f>
        <v>Salaries</v>
      </c>
      <c r="G243" s="3" t="str">
        <f>VLOOKUP(E243, Ref_GLAccount!$A$2:$D$9, 3, FALSE)</f>
        <v>Personnel</v>
      </c>
      <c r="H243" s="6" t="s">
        <v>70</v>
      </c>
      <c r="I243" s="7">
        <v>200850</v>
      </c>
      <c r="J243" s="18" t="b">
        <f>IF(tblFactFinance[[#This Row],[MonthStart]] &lt;= Inputs!$B$1, TRUE, FALSE)</f>
        <v>1</v>
      </c>
    </row>
    <row r="244" spans="1:10" x14ac:dyDescent="0.3">
      <c r="A244" s="15">
        <v>45748</v>
      </c>
      <c r="B244" s="17" t="s">
        <v>57</v>
      </c>
      <c r="C244" s="3" t="s">
        <v>1</v>
      </c>
      <c r="D244" s="3" t="str">
        <f>VLOOKUP(C244, Ref_Department!$A$2:$D$6, 2, FALSE)</f>
        <v>Branch Operations</v>
      </c>
      <c r="E244" s="3" t="s">
        <v>37</v>
      </c>
      <c r="F244" s="3" t="str">
        <f>VLOOKUP(E244, Ref_GLAccount!$A$2:$D$9, 2, FALSE)</f>
        <v>Benefits</v>
      </c>
      <c r="G244" s="3" t="str">
        <f>VLOOKUP(E244, Ref_GLAccount!$A$2:$D$9, 3, FALSE)</f>
        <v>Personnel</v>
      </c>
      <c r="H244" s="6" t="s">
        <v>66</v>
      </c>
      <c r="I244" s="7">
        <v>41993.05</v>
      </c>
      <c r="J244" s="18" t="b">
        <f>IF(tblFactFinance[[#This Row],[MonthStart]] &lt;= Inputs!$B$1, TRUE, FALSE)</f>
        <v>1</v>
      </c>
    </row>
    <row r="245" spans="1:10" x14ac:dyDescent="0.3">
      <c r="A245" s="15">
        <v>45748</v>
      </c>
      <c r="B245" s="17" t="s">
        <v>57</v>
      </c>
      <c r="C245" s="3" t="s">
        <v>1</v>
      </c>
      <c r="D245" s="3" t="str">
        <f>VLOOKUP(C245, Ref_Department!$A$2:$D$6, 2, FALSE)</f>
        <v>Branch Operations</v>
      </c>
      <c r="E245" s="3" t="s">
        <v>37</v>
      </c>
      <c r="F245" s="3" t="str">
        <f>VLOOKUP(E245, Ref_GLAccount!$A$2:$D$9, 2, FALSE)</f>
        <v>Benefits</v>
      </c>
      <c r="G245" s="3" t="str">
        <f>VLOOKUP(E245, Ref_GLAccount!$A$2:$D$9, 3, FALSE)</f>
        <v>Personnel</v>
      </c>
      <c r="H245" s="6" t="s">
        <v>70</v>
      </c>
      <c r="I245" s="7">
        <v>44187</v>
      </c>
      <c r="J245" s="18" t="b">
        <f>IF(tblFactFinance[[#This Row],[MonthStart]] &lt;= Inputs!$B$1, TRUE, FALSE)</f>
        <v>1</v>
      </c>
    </row>
    <row r="246" spans="1:10" x14ac:dyDescent="0.3">
      <c r="A246" s="15">
        <v>45748</v>
      </c>
      <c r="B246" s="17" t="s">
        <v>57</v>
      </c>
      <c r="C246" s="3" t="s">
        <v>1</v>
      </c>
      <c r="D246" s="3" t="str">
        <f>VLOOKUP(C246, Ref_Department!$A$2:$D$6, 2, FALSE)</f>
        <v>Branch Operations</v>
      </c>
      <c r="E246" s="3" t="s">
        <v>7</v>
      </c>
      <c r="F246" s="3" t="str">
        <f>VLOOKUP(E246, Ref_GLAccount!$A$2:$D$9, 2, FALSE)</f>
        <v>Occupancy &amp; Facilities</v>
      </c>
      <c r="G246" s="3" t="str">
        <f>VLOOKUP(E246, Ref_GLAccount!$A$2:$D$9, 3, FALSE)</f>
        <v>Facilities</v>
      </c>
      <c r="H246" s="6" t="s">
        <v>66</v>
      </c>
      <c r="I246" s="7">
        <v>38334.32</v>
      </c>
      <c r="J246" s="18" t="b">
        <f>IF(tblFactFinance[[#This Row],[MonthStart]] &lt;= Inputs!$B$1, TRUE, FALSE)</f>
        <v>1</v>
      </c>
    </row>
    <row r="247" spans="1:10" x14ac:dyDescent="0.3">
      <c r="A247" s="15">
        <v>45748</v>
      </c>
      <c r="B247" s="17" t="s">
        <v>57</v>
      </c>
      <c r="C247" s="3" t="s">
        <v>1</v>
      </c>
      <c r="D247" s="3" t="str">
        <f>VLOOKUP(C247, Ref_Department!$A$2:$D$6, 2, FALSE)</f>
        <v>Branch Operations</v>
      </c>
      <c r="E247" s="3" t="s">
        <v>7</v>
      </c>
      <c r="F247" s="3" t="str">
        <f>VLOOKUP(E247, Ref_GLAccount!$A$2:$D$9, 2, FALSE)</f>
        <v>Occupancy &amp; Facilities</v>
      </c>
      <c r="G247" s="3" t="str">
        <f>VLOOKUP(E247, Ref_GLAccount!$A$2:$D$9, 3, FALSE)</f>
        <v>Facilities</v>
      </c>
      <c r="H247" s="6" t="s">
        <v>70</v>
      </c>
      <c r="I247" s="7">
        <v>38000</v>
      </c>
      <c r="J247" s="18" t="b">
        <f>IF(tblFactFinance[[#This Row],[MonthStart]] &lt;= Inputs!$B$1, TRUE, FALSE)</f>
        <v>1</v>
      </c>
    </row>
    <row r="248" spans="1:10" x14ac:dyDescent="0.3">
      <c r="A248" s="15">
        <v>45748</v>
      </c>
      <c r="B248" s="17" t="s">
        <v>57</v>
      </c>
      <c r="C248" s="3" t="s">
        <v>1</v>
      </c>
      <c r="D248" s="3" t="str">
        <f>VLOOKUP(C248, Ref_Department!$A$2:$D$6, 2, FALSE)</f>
        <v>Branch Operations</v>
      </c>
      <c r="E248" s="3" t="s">
        <v>8</v>
      </c>
      <c r="F248" s="3" t="str">
        <f>VLOOKUP(E248, Ref_GLAccount!$A$2:$D$9, 2, FALSE)</f>
        <v>IT Software &amp; Subscriptions</v>
      </c>
      <c r="G248" s="3" t="str">
        <f>VLOOKUP(E248, Ref_GLAccount!$A$2:$D$9, 3, FALSE)</f>
        <v>IT</v>
      </c>
      <c r="H248" s="6" t="s">
        <v>66</v>
      </c>
      <c r="I248" s="7">
        <v>11876.16</v>
      </c>
      <c r="J248" s="18" t="b">
        <f>IF(tblFactFinance[[#This Row],[MonthStart]] &lt;= Inputs!$B$1, TRUE, FALSE)</f>
        <v>1</v>
      </c>
    </row>
    <row r="249" spans="1:10" x14ac:dyDescent="0.3">
      <c r="A249" s="15">
        <v>45748</v>
      </c>
      <c r="B249" s="17" t="s">
        <v>57</v>
      </c>
      <c r="C249" s="3" t="s">
        <v>1</v>
      </c>
      <c r="D249" s="3" t="str">
        <f>VLOOKUP(C249, Ref_Department!$A$2:$D$6, 2, FALSE)</f>
        <v>Branch Operations</v>
      </c>
      <c r="E249" s="3" t="s">
        <v>8</v>
      </c>
      <c r="F249" s="3" t="str">
        <f>VLOOKUP(E249, Ref_GLAccount!$A$2:$D$9, 2, FALSE)</f>
        <v>IT Software &amp; Subscriptions</v>
      </c>
      <c r="G249" s="3" t="str">
        <f>VLOOKUP(E249, Ref_GLAccount!$A$2:$D$9, 3, FALSE)</f>
        <v>IT</v>
      </c>
      <c r="H249" s="6" t="s">
        <v>70</v>
      </c>
      <c r="I249" s="7">
        <v>12480</v>
      </c>
      <c r="J249" s="18" t="b">
        <f>IF(tblFactFinance[[#This Row],[MonthStart]] &lt;= Inputs!$B$1, TRUE, FALSE)</f>
        <v>1</v>
      </c>
    </row>
    <row r="250" spans="1:10" x14ac:dyDescent="0.3">
      <c r="A250" s="15">
        <v>45748</v>
      </c>
      <c r="B250" s="17" t="s">
        <v>57</v>
      </c>
      <c r="C250" s="3" t="s">
        <v>1</v>
      </c>
      <c r="D250" s="3" t="str">
        <f>VLOOKUP(C250, Ref_Department!$A$2:$D$6, 2, FALSE)</f>
        <v>Branch Operations</v>
      </c>
      <c r="E250" s="3" t="s">
        <v>9</v>
      </c>
      <c r="F250" s="3" t="str">
        <f>VLOOKUP(E250, Ref_GLAccount!$A$2:$D$9, 2, FALSE)</f>
        <v>Marketing &amp; Advertising</v>
      </c>
      <c r="G250" s="3" t="str">
        <f>VLOOKUP(E250, Ref_GLAccount!$A$2:$D$9, 3, FALSE)</f>
        <v>Marketing</v>
      </c>
      <c r="H250" s="6" t="s">
        <v>66</v>
      </c>
      <c r="I250" s="7">
        <v>4307.3</v>
      </c>
      <c r="J250" s="18" t="b">
        <f>IF(tblFactFinance[[#This Row],[MonthStart]] &lt;= Inputs!$B$1, TRUE, FALSE)</f>
        <v>1</v>
      </c>
    </row>
    <row r="251" spans="1:10" x14ac:dyDescent="0.3">
      <c r="A251" s="15">
        <v>45748</v>
      </c>
      <c r="B251" s="17" t="s">
        <v>57</v>
      </c>
      <c r="C251" s="3" t="s">
        <v>1</v>
      </c>
      <c r="D251" s="3" t="str">
        <f>VLOOKUP(C251, Ref_Department!$A$2:$D$6, 2, FALSE)</f>
        <v>Branch Operations</v>
      </c>
      <c r="E251" s="3" t="s">
        <v>9</v>
      </c>
      <c r="F251" s="3" t="str">
        <f>VLOOKUP(E251, Ref_GLAccount!$A$2:$D$9, 2, FALSE)</f>
        <v>Marketing &amp; Advertising</v>
      </c>
      <c r="G251" s="3" t="str">
        <f>VLOOKUP(E251, Ref_GLAccount!$A$2:$D$9, 3, FALSE)</f>
        <v>Marketing</v>
      </c>
      <c r="H251" s="6" t="s">
        <v>70</v>
      </c>
      <c r="I251" s="7">
        <v>4160</v>
      </c>
      <c r="J251" s="18" t="b">
        <f>IF(tblFactFinance[[#This Row],[MonthStart]] &lt;= Inputs!$B$1, TRUE, FALSE)</f>
        <v>1</v>
      </c>
    </row>
    <row r="252" spans="1:10" x14ac:dyDescent="0.3">
      <c r="A252" s="15">
        <v>45748</v>
      </c>
      <c r="B252" s="17" t="s">
        <v>57</v>
      </c>
      <c r="C252" s="3" t="s">
        <v>1</v>
      </c>
      <c r="D252" s="3" t="str">
        <f>VLOOKUP(C252, Ref_Department!$A$2:$D$6, 2, FALSE)</f>
        <v>Branch Operations</v>
      </c>
      <c r="E252" s="3" t="s">
        <v>10</v>
      </c>
      <c r="F252" s="3" t="str">
        <f>VLOOKUP(E252, Ref_GLAccount!$A$2:$D$9, 2, FALSE)</f>
        <v>Professional Services</v>
      </c>
      <c r="G252" s="3" t="str">
        <f>VLOOKUP(E252, Ref_GLAccount!$A$2:$D$9, 3, FALSE)</f>
        <v>Professional Services</v>
      </c>
      <c r="H252" s="6" t="s">
        <v>66</v>
      </c>
      <c r="I252" s="7">
        <v>5200.66</v>
      </c>
      <c r="J252" s="18" t="b">
        <f>IF(tblFactFinance[[#This Row],[MonthStart]] &lt;= Inputs!$B$1, TRUE, FALSE)</f>
        <v>1</v>
      </c>
    </row>
    <row r="253" spans="1:10" x14ac:dyDescent="0.3">
      <c r="A253" s="15">
        <v>45748</v>
      </c>
      <c r="B253" s="17" t="s">
        <v>57</v>
      </c>
      <c r="C253" s="3" t="s">
        <v>1</v>
      </c>
      <c r="D253" s="3" t="str">
        <f>VLOOKUP(C253, Ref_Department!$A$2:$D$6, 2, FALSE)</f>
        <v>Branch Operations</v>
      </c>
      <c r="E253" s="3" t="s">
        <v>10</v>
      </c>
      <c r="F253" s="3" t="str">
        <f>VLOOKUP(E253, Ref_GLAccount!$A$2:$D$9, 2, FALSE)</f>
        <v>Professional Services</v>
      </c>
      <c r="G253" s="3" t="str">
        <f>VLOOKUP(E253, Ref_GLAccount!$A$2:$D$9, 3, FALSE)</f>
        <v>Professional Services</v>
      </c>
      <c r="H253" s="6" t="s">
        <v>70</v>
      </c>
      <c r="I253" s="7">
        <v>5200</v>
      </c>
      <c r="J253" s="18" t="b">
        <f>IF(tblFactFinance[[#This Row],[MonthStart]] &lt;= Inputs!$B$1, TRUE, FALSE)</f>
        <v>1</v>
      </c>
    </row>
    <row r="254" spans="1:10" x14ac:dyDescent="0.3">
      <c r="A254" s="15">
        <v>45748</v>
      </c>
      <c r="B254" s="17" t="s">
        <v>57</v>
      </c>
      <c r="C254" s="3" t="s">
        <v>1</v>
      </c>
      <c r="D254" s="3" t="str">
        <f>VLOOKUP(C254, Ref_Department!$A$2:$D$6, 2, FALSE)</f>
        <v>Branch Operations</v>
      </c>
      <c r="E254" s="3" t="s">
        <v>11</v>
      </c>
      <c r="F254" s="3" t="str">
        <f>VLOOKUP(E254, Ref_GLAccount!$A$2:$D$9, 2, FALSE)</f>
        <v>Office Supplies</v>
      </c>
      <c r="G254" s="3" t="str">
        <f>VLOOKUP(E254, Ref_GLAccount!$A$2:$D$9, 3, FALSE)</f>
        <v>Other OPEX</v>
      </c>
      <c r="H254" s="6" t="s">
        <v>66</v>
      </c>
      <c r="I254" s="7">
        <v>1702.49</v>
      </c>
      <c r="J254" s="18" t="b">
        <f>IF(tblFactFinance[[#This Row],[MonthStart]] &lt;= Inputs!$B$1, TRUE, FALSE)</f>
        <v>1</v>
      </c>
    </row>
    <row r="255" spans="1:10" x14ac:dyDescent="0.3">
      <c r="A255" s="15">
        <v>45748</v>
      </c>
      <c r="B255" s="17" t="s">
        <v>57</v>
      </c>
      <c r="C255" s="3" t="s">
        <v>1</v>
      </c>
      <c r="D255" s="3" t="str">
        <f>VLOOKUP(C255, Ref_Department!$A$2:$D$6, 2, FALSE)</f>
        <v>Branch Operations</v>
      </c>
      <c r="E255" s="3" t="s">
        <v>11</v>
      </c>
      <c r="F255" s="3" t="str">
        <f>VLOOKUP(E255, Ref_GLAccount!$A$2:$D$9, 2, FALSE)</f>
        <v>Office Supplies</v>
      </c>
      <c r="G255" s="3" t="str">
        <f>VLOOKUP(E255, Ref_GLAccount!$A$2:$D$9, 3, FALSE)</f>
        <v>Other OPEX</v>
      </c>
      <c r="H255" s="6" t="s">
        <v>70</v>
      </c>
      <c r="I255" s="7">
        <v>1560</v>
      </c>
      <c r="J255" s="18" t="b">
        <f>IF(tblFactFinance[[#This Row],[MonthStart]] &lt;= Inputs!$B$1, TRUE, FALSE)</f>
        <v>1</v>
      </c>
    </row>
    <row r="256" spans="1:10" x14ac:dyDescent="0.3">
      <c r="A256" s="15">
        <v>45748</v>
      </c>
      <c r="B256" s="17" t="s">
        <v>57</v>
      </c>
      <c r="C256" s="3" t="s">
        <v>1</v>
      </c>
      <c r="D256" s="3" t="str">
        <f>VLOOKUP(C256, Ref_Department!$A$2:$D$6, 2, FALSE)</f>
        <v>Branch Operations</v>
      </c>
      <c r="E256" s="3" t="s">
        <v>12</v>
      </c>
      <c r="F256" s="3" t="str">
        <f>VLOOKUP(E256, Ref_GLAccount!$A$2:$D$9, 2, FALSE)</f>
        <v>Training &amp; Development</v>
      </c>
      <c r="G256" s="3" t="str">
        <f>VLOOKUP(E256, Ref_GLAccount!$A$2:$D$9, 3, FALSE)</f>
        <v>Other OPEX</v>
      </c>
      <c r="H256" s="6" t="s">
        <v>66</v>
      </c>
      <c r="I256" s="7">
        <v>1262.02</v>
      </c>
      <c r="J256" s="18" t="b">
        <f>IF(tblFactFinance[[#This Row],[MonthStart]] &lt;= Inputs!$B$1, TRUE, FALSE)</f>
        <v>1</v>
      </c>
    </row>
    <row r="257" spans="1:10" x14ac:dyDescent="0.3">
      <c r="A257" s="15">
        <v>45748</v>
      </c>
      <c r="B257" s="17" t="s">
        <v>57</v>
      </c>
      <c r="C257" s="3" t="s">
        <v>1</v>
      </c>
      <c r="D257" s="3" t="str">
        <f>VLOOKUP(C257, Ref_Department!$A$2:$D$6, 2, FALSE)</f>
        <v>Branch Operations</v>
      </c>
      <c r="E257" s="3" t="s">
        <v>12</v>
      </c>
      <c r="F257" s="3" t="str">
        <f>VLOOKUP(E257, Ref_GLAccount!$A$2:$D$9, 2, FALSE)</f>
        <v>Training &amp; Development</v>
      </c>
      <c r="G257" s="3" t="str">
        <f>VLOOKUP(E257, Ref_GLAccount!$A$2:$D$9, 3, FALSE)</f>
        <v>Other OPEX</v>
      </c>
      <c r="H257" s="6" t="s">
        <v>70</v>
      </c>
      <c r="I257" s="7">
        <v>1248</v>
      </c>
      <c r="J257" s="18" t="b">
        <f>IF(tblFactFinance[[#This Row],[MonthStart]] &lt;= Inputs!$B$1, TRUE, FALSE)</f>
        <v>1</v>
      </c>
    </row>
    <row r="258" spans="1:10" x14ac:dyDescent="0.3">
      <c r="A258" s="15">
        <v>45748</v>
      </c>
      <c r="B258" s="17" t="s">
        <v>57</v>
      </c>
      <c r="C258" s="3" t="s">
        <v>2</v>
      </c>
      <c r="D258" s="3" t="str">
        <f>VLOOKUP(C258, Ref_Department!$A$2:$D$6, 2, FALSE)</f>
        <v>Lending</v>
      </c>
      <c r="E258" s="3" t="s">
        <v>33</v>
      </c>
      <c r="F258" s="3" t="str">
        <f>VLOOKUP(E258, Ref_GLAccount!$A$2:$D$9, 2, FALSE)</f>
        <v>Salaries</v>
      </c>
      <c r="G258" s="3" t="str">
        <f>VLOOKUP(E258, Ref_GLAccount!$A$2:$D$9, 3, FALSE)</f>
        <v>Personnel</v>
      </c>
      <c r="H258" s="6" t="s">
        <v>66</v>
      </c>
      <c r="I258" s="7">
        <v>182492.76</v>
      </c>
      <c r="J258" s="18" t="b">
        <f>IF(tblFactFinance[[#This Row],[MonthStart]] &lt;= Inputs!$B$1, TRUE, FALSE)</f>
        <v>1</v>
      </c>
    </row>
    <row r="259" spans="1:10" x14ac:dyDescent="0.3">
      <c r="A259" s="15">
        <v>45748</v>
      </c>
      <c r="B259" s="17" t="s">
        <v>57</v>
      </c>
      <c r="C259" s="3" t="s">
        <v>2</v>
      </c>
      <c r="D259" s="3" t="str">
        <f>VLOOKUP(C259, Ref_Department!$A$2:$D$6, 2, FALSE)</f>
        <v>Lending</v>
      </c>
      <c r="E259" s="3" t="s">
        <v>33</v>
      </c>
      <c r="F259" s="3" t="str">
        <f>VLOOKUP(E259, Ref_GLAccount!$A$2:$D$9, 2, FALSE)</f>
        <v>Salaries</v>
      </c>
      <c r="G259" s="3" t="str">
        <f>VLOOKUP(E259, Ref_GLAccount!$A$2:$D$9, 3, FALSE)</f>
        <v>Personnel</v>
      </c>
      <c r="H259" s="6" t="s">
        <v>70</v>
      </c>
      <c r="I259" s="7">
        <v>173040</v>
      </c>
      <c r="J259" s="18" t="b">
        <f>IF(tblFactFinance[[#This Row],[MonthStart]] &lt;= Inputs!$B$1, TRUE, FALSE)</f>
        <v>1</v>
      </c>
    </row>
    <row r="260" spans="1:10" x14ac:dyDescent="0.3">
      <c r="A260" s="15">
        <v>45748</v>
      </c>
      <c r="B260" s="17" t="s">
        <v>57</v>
      </c>
      <c r="C260" s="3" t="s">
        <v>2</v>
      </c>
      <c r="D260" s="3" t="str">
        <f>VLOOKUP(C260, Ref_Department!$A$2:$D$6, 2, FALSE)</f>
        <v>Lending</v>
      </c>
      <c r="E260" s="3" t="s">
        <v>37</v>
      </c>
      <c r="F260" s="3" t="str">
        <f>VLOOKUP(E260, Ref_GLAccount!$A$2:$D$9, 2, FALSE)</f>
        <v>Benefits</v>
      </c>
      <c r="G260" s="3" t="str">
        <f>VLOOKUP(E260, Ref_GLAccount!$A$2:$D$9, 3, FALSE)</f>
        <v>Personnel</v>
      </c>
      <c r="H260" s="6" t="s">
        <v>66</v>
      </c>
      <c r="I260" s="7">
        <v>36084.25</v>
      </c>
      <c r="J260" s="18" t="b">
        <f>IF(tblFactFinance[[#This Row],[MonthStart]] &lt;= Inputs!$B$1, TRUE, FALSE)</f>
        <v>1</v>
      </c>
    </row>
    <row r="261" spans="1:10" x14ac:dyDescent="0.3">
      <c r="A261" s="15">
        <v>45748</v>
      </c>
      <c r="B261" s="17" t="s">
        <v>57</v>
      </c>
      <c r="C261" s="3" t="s">
        <v>2</v>
      </c>
      <c r="D261" s="3" t="str">
        <f>VLOOKUP(C261, Ref_Department!$A$2:$D$6, 2, FALSE)</f>
        <v>Lending</v>
      </c>
      <c r="E261" s="3" t="s">
        <v>37</v>
      </c>
      <c r="F261" s="3" t="str">
        <f>VLOOKUP(E261, Ref_GLAccount!$A$2:$D$9, 2, FALSE)</f>
        <v>Benefits</v>
      </c>
      <c r="G261" s="3" t="str">
        <f>VLOOKUP(E261, Ref_GLAccount!$A$2:$D$9, 3, FALSE)</f>
        <v>Personnel</v>
      </c>
      <c r="H261" s="6" t="s">
        <v>70</v>
      </c>
      <c r="I261" s="7">
        <v>38068.800000000003</v>
      </c>
      <c r="J261" s="18" t="b">
        <f>IF(tblFactFinance[[#This Row],[MonthStart]] &lt;= Inputs!$B$1, TRUE, FALSE)</f>
        <v>1</v>
      </c>
    </row>
    <row r="262" spans="1:10" x14ac:dyDescent="0.3">
      <c r="A262" s="15">
        <v>45748</v>
      </c>
      <c r="B262" s="17" t="s">
        <v>57</v>
      </c>
      <c r="C262" s="3" t="s">
        <v>2</v>
      </c>
      <c r="D262" s="3" t="str">
        <f>VLOOKUP(C262, Ref_Department!$A$2:$D$6, 2, FALSE)</f>
        <v>Lending</v>
      </c>
      <c r="E262" s="3" t="s">
        <v>7</v>
      </c>
      <c r="F262" s="3" t="str">
        <f>VLOOKUP(E262, Ref_GLAccount!$A$2:$D$9, 2, FALSE)</f>
        <v>Occupancy &amp; Facilities</v>
      </c>
      <c r="G262" s="3" t="str">
        <f>VLOOKUP(E262, Ref_GLAccount!$A$2:$D$9, 3, FALSE)</f>
        <v>Facilities</v>
      </c>
      <c r="H262" s="6" t="s">
        <v>66</v>
      </c>
      <c r="I262" s="7">
        <v>15921.83</v>
      </c>
      <c r="J262" s="18" t="b">
        <f>IF(tblFactFinance[[#This Row],[MonthStart]] &lt;= Inputs!$B$1, TRUE, FALSE)</f>
        <v>1</v>
      </c>
    </row>
    <row r="263" spans="1:10" x14ac:dyDescent="0.3">
      <c r="A263" s="15">
        <v>45748</v>
      </c>
      <c r="B263" s="17" t="s">
        <v>57</v>
      </c>
      <c r="C263" s="3" t="s">
        <v>2</v>
      </c>
      <c r="D263" s="3" t="str">
        <f>VLOOKUP(C263, Ref_Department!$A$2:$D$6, 2, FALSE)</f>
        <v>Lending</v>
      </c>
      <c r="E263" s="3" t="s">
        <v>7</v>
      </c>
      <c r="F263" s="3" t="str">
        <f>VLOOKUP(E263, Ref_GLAccount!$A$2:$D$9, 2, FALSE)</f>
        <v>Occupancy &amp; Facilities</v>
      </c>
      <c r="G263" s="3" t="str">
        <f>VLOOKUP(E263, Ref_GLAccount!$A$2:$D$9, 3, FALSE)</f>
        <v>Facilities</v>
      </c>
      <c r="H263" s="6" t="s">
        <v>70</v>
      </c>
      <c r="I263" s="7">
        <v>16000</v>
      </c>
      <c r="J263" s="18" t="b">
        <f>IF(tblFactFinance[[#This Row],[MonthStart]] &lt;= Inputs!$B$1, TRUE, FALSE)</f>
        <v>1</v>
      </c>
    </row>
    <row r="264" spans="1:10" x14ac:dyDescent="0.3">
      <c r="A264" s="15">
        <v>45748</v>
      </c>
      <c r="B264" s="17" t="s">
        <v>57</v>
      </c>
      <c r="C264" s="3" t="s">
        <v>2</v>
      </c>
      <c r="D264" s="3" t="str">
        <f>VLOOKUP(C264, Ref_Department!$A$2:$D$6, 2, FALSE)</f>
        <v>Lending</v>
      </c>
      <c r="E264" s="3" t="s">
        <v>8</v>
      </c>
      <c r="F264" s="3" t="str">
        <f>VLOOKUP(E264, Ref_GLAccount!$A$2:$D$9, 2, FALSE)</f>
        <v>IT Software &amp; Subscriptions</v>
      </c>
      <c r="G264" s="3" t="str">
        <f>VLOOKUP(E264, Ref_GLAccount!$A$2:$D$9, 3, FALSE)</f>
        <v>IT</v>
      </c>
      <c r="H264" s="6" t="s">
        <v>66</v>
      </c>
      <c r="I264" s="7">
        <v>9480.99</v>
      </c>
      <c r="J264" s="18" t="b">
        <f>IF(tblFactFinance[[#This Row],[MonthStart]] &lt;= Inputs!$B$1, TRUE, FALSE)</f>
        <v>1</v>
      </c>
    </row>
    <row r="265" spans="1:10" x14ac:dyDescent="0.3">
      <c r="A265" s="15">
        <v>45748</v>
      </c>
      <c r="B265" s="17" t="s">
        <v>57</v>
      </c>
      <c r="C265" s="3" t="s">
        <v>2</v>
      </c>
      <c r="D265" s="3" t="str">
        <f>VLOOKUP(C265, Ref_Department!$A$2:$D$6, 2, FALSE)</f>
        <v>Lending</v>
      </c>
      <c r="E265" s="3" t="s">
        <v>8</v>
      </c>
      <c r="F265" s="3" t="str">
        <f>VLOOKUP(E265, Ref_GLAccount!$A$2:$D$9, 2, FALSE)</f>
        <v>IT Software &amp; Subscriptions</v>
      </c>
      <c r="G265" s="3" t="str">
        <f>VLOOKUP(E265, Ref_GLAccount!$A$2:$D$9, 3, FALSE)</f>
        <v>IT</v>
      </c>
      <c r="H265" s="6" t="s">
        <v>70</v>
      </c>
      <c r="I265" s="7">
        <v>9360</v>
      </c>
      <c r="J265" s="18" t="b">
        <f>IF(tblFactFinance[[#This Row],[MonthStart]] &lt;= Inputs!$B$1, TRUE, FALSE)</f>
        <v>1</v>
      </c>
    </row>
    <row r="266" spans="1:10" x14ac:dyDescent="0.3">
      <c r="A266" s="15">
        <v>45748</v>
      </c>
      <c r="B266" s="17" t="s">
        <v>57</v>
      </c>
      <c r="C266" s="3" t="s">
        <v>2</v>
      </c>
      <c r="D266" s="3" t="str">
        <f>VLOOKUP(C266, Ref_Department!$A$2:$D$6, 2, FALSE)</f>
        <v>Lending</v>
      </c>
      <c r="E266" s="3" t="s">
        <v>9</v>
      </c>
      <c r="F266" s="3" t="str">
        <f>VLOOKUP(E266, Ref_GLAccount!$A$2:$D$9, 2, FALSE)</f>
        <v>Marketing &amp; Advertising</v>
      </c>
      <c r="G266" s="3" t="str">
        <f>VLOOKUP(E266, Ref_GLAccount!$A$2:$D$9, 3, FALSE)</f>
        <v>Marketing</v>
      </c>
      <c r="H266" s="6" t="s">
        <v>66</v>
      </c>
      <c r="I266" s="7">
        <v>6675.73</v>
      </c>
      <c r="J266" s="18" t="b">
        <f>IF(tblFactFinance[[#This Row],[MonthStart]] &lt;= Inputs!$B$1, TRUE, FALSE)</f>
        <v>1</v>
      </c>
    </row>
    <row r="267" spans="1:10" x14ac:dyDescent="0.3">
      <c r="A267" s="15">
        <v>45748</v>
      </c>
      <c r="B267" s="17" t="s">
        <v>57</v>
      </c>
      <c r="C267" s="3" t="s">
        <v>2</v>
      </c>
      <c r="D267" s="3" t="str">
        <f>VLOOKUP(C267, Ref_Department!$A$2:$D$6, 2, FALSE)</f>
        <v>Lending</v>
      </c>
      <c r="E267" s="3" t="s">
        <v>9</v>
      </c>
      <c r="F267" s="3" t="str">
        <f>VLOOKUP(E267, Ref_GLAccount!$A$2:$D$9, 2, FALSE)</f>
        <v>Marketing &amp; Advertising</v>
      </c>
      <c r="G267" s="3" t="str">
        <f>VLOOKUP(E267, Ref_GLAccount!$A$2:$D$9, 3, FALSE)</f>
        <v>Marketing</v>
      </c>
      <c r="H267" s="6" t="s">
        <v>70</v>
      </c>
      <c r="I267" s="7">
        <v>6240</v>
      </c>
      <c r="J267" s="18" t="b">
        <f>IF(tblFactFinance[[#This Row],[MonthStart]] &lt;= Inputs!$B$1, TRUE, FALSE)</f>
        <v>1</v>
      </c>
    </row>
    <row r="268" spans="1:10" x14ac:dyDescent="0.3">
      <c r="A268" s="15">
        <v>45748</v>
      </c>
      <c r="B268" s="17" t="s">
        <v>57</v>
      </c>
      <c r="C268" s="3" t="s">
        <v>2</v>
      </c>
      <c r="D268" s="3" t="str">
        <f>VLOOKUP(C268, Ref_Department!$A$2:$D$6, 2, FALSE)</f>
        <v>Lending</v>
      </c>
      <c r="E268" s="3" t="s">
        <v>10</v>
      </c>
      <c r="F268" s="3" t="str">
        <f>VLOOKUP(E268, Ref_GLAccount!$A$2:$D$9, 2, FALSE)</f>
        <v>Professional Services</v>
      </c>
      <c r="G268" s="3" t="str">
        <f>VLOOKUP(E268, Ref_GLAccount!$A$2:$D$9, 3, FALSE)</f>
        <v>Professional Services</v>
      </c>
      <c r="H268" s="6" t="s">
        <v>66</v>
      </c>
      <c r="I268" s="7">
        <v>7760.59</v>
      </c>
      <c r="J268" s="18" t="b">
        <f>IF(tblFactFinance[[#This Row],[MonthStart]] &lt;= Inputs!$B$1, TRUE, FALSE)</f>
        <v>1</v>
      </c>
    </row>
    <row r="269" spans="1:10" x14ac:dyDescent="0.3">
      <c r="A269" s="15">
        <v>45748</v>
      </c>
      <c r="B269" s="17" t="s">
        <v>57</v>
      </c>
      <c r="C269" s="3" t="s">
        <v>2</v>
      </c>
      <c r="D269" s="3" t="str">
        <f>VLOOKUP(C269, Ref_Department!$A$2:$D$6, 2, FALSE)</f>
        <v>Lending</v>
      </c>
      <c r="E269" s="3" t="s">
        <v>10</v>
      </c>
      <c r="F269" s="3" t="str">
        <f>VLOOKUP(E269, Ref_GLAccount!$A$2:$D$9, 2, FALSE)</f>
        <v>Professional Services</v>
      </c>
      <c r="G269" s="3" t="str">
        <f>VLOOKUP(E269, Ref_GLAccount!$A$2:$D$9, 3, FALSE)</f>
        <v>Professional Services</v>
      </c>
      <c r="H269" s="6" t="s">
        <v>70</v>
      </c>
      <c r="I269" s="7">
        <v>8320</v>
      </c>
      <c r="J269" s="18" t="b">
        <f>IF(tblFactFinance[[#This Row],[MonthStart]] &lt;= Inputs!$B$1, TRUE, FALSE)</f>
        <v>1</v>
      </c>
    </row>
    <row r="270" spans="1:10" x14ac:dyDescent="0.3">
      <c r="A270" s="15">
        <v>45748</v>
      </c>
      <c r="B270" s="17" t="s">
        <v>57</v>
      </c>
      <c r="C270" s="3" t="s">
        <v>2</v>
      </c>
      <c r="D270" s="3" t="str">
        <f>VLOOKUP(C270, Ref_Department!$A$2:$D$6, 2, FALSE)</f>
        <v>Lending</v>
      </c>
      <c r="E270" s="3" t="s">
        <v>11</v>
      </c>
      <c r="F270" s="3" t="str">
        <f>VLOOKUP(E270, Ref_GLAccount!$A$2:$D$9, 2, FALSE)</f>
        <v>Office Supplies</v>
      </c>
      <c r="G270" s="3" t="str">
        <f>VLOOKUP(E270, Ref_GLAccount!$A$2:$D$9, 3, FALSE)</f>
        <v>Other OPEX</v>
      </c>
      <c r="H270" s="6" t="s">
        <v>66</v>
      </c>
      <c r="I270" s="7">
        <v>973.09</v>
      </c>
      <c r="J270" s="18" t="b">
        <f>IF(tblFactFinance[[#This Row],[MonthStart]] &lt;= Inputs!$B$1, TRUE, FALSE)</f>
        <v>1</v>
      </c>
    </row>
    <row r="271" spans="1:10" x14ac:dyDescent="0.3">
      <c r="A271" s="15">
        <v>45748</v>
      </c>
      <c r="B271" s="17" t="s">
        <v>57</v>
      </c>
      <c r="C271" s="3" t="s">
        <v>2</v>
      </c>
      <c r="D271" s="3" t="str">
        <f>VLOOKUP(C271, Ref_Department!$A$2:$D$6, 2, FALSE)</f>
        <v>Lending</v>
      </c>
      <c r="E271" s="3" t="s">
        <v>11</v>
      </c>
      <c r="F271" s="3" t="str">
        <f>VLOOKUP(E271, Ref_GLAccount!$A$2:$D$9, 2, FALSE)</f>
        <v>Office Supplies</v>
      </c>
      <c r="G271" s="3" t="str">
        <f>VLOOKUP(E271, Ref_GLAccount!$A$2:$D$9, 3, FALSE)</f>
        <v>Other OPEX</v>
      </c>
      <c r="H271" s="6" t="s">
        <v>70</v>
      </c>
      <c r="I271" s="7">
        <v>936</v>
      </c>
      <c r="J271" s="18" t="b">
        <f>IF(tblFactFinance[[#This Row],[MonthStart]] &lt;= Inputs!$B$1, TRUE, FALSE)</f>
        <v>1</v>
      </c>
    </row>
    <row r="272" spans="1:10" x14ac:dyDescent="0.3">
      <c r="A272" s="15">
        <v>45748</v>
      </c>
      <c r="B272" s="17" t="s">
        <v>57</v>
      </c>
      <c r="C272" s="3" t="s">
        <v>2</v>
      </c>
      <c r="D272" s="3" t="str">
        <f>VLOOKUP(C272, Ref_Department!$A$2:$D$6, 2, FALSE)</f>
        <v>Lending</v>
      </c>
      <c r="E272" s="3" t="s">
        <v>12</v>
      </c>
      <c r="F272" s="3" t="str">
        <f>VLOOKUP(E272, Ref_GLAccount!$A$2:$D$9, 2, FALSE)</f>
        <v>Training &amp; Development</v>
      </c>
      <c r="G272" s="3" t="str">
        <f>VLOOKUP(E272, Ref_GLAccount!$A$2:$D$9, 3, FALSE)</f>
        <v>Other OPEX</v>
      </c>
      <c r="H272" s="6" t="s">
        <v>66</v>
      </c>
      <c r="I272" s="7">
        <v>1490.44</v>
      </c>
      <c r="J272" s="18" t="b">
        <f>IF(tblFactFinance[[#This Row],[MonthStart]] &lt;= Inputs!$B$1, TRUE, FALSE)</f>
        <v>1</v>
      </c>
    </row>
    <row r="273" spans="1:10" x14ac:dyDescent="0.3">
      <c r="A273" s="15">
        <v>45748</v>
      </c>
      <c r="B273" s="17" t="s">
        <v>57</v>
      </c>
      <c r="C273" s="3" t="s">
        <v>2</v>
      </c>
      <c r="D273" s="3" t="str">
        <f>VLOOKUP(C273, Ref_Department!$A$2:$D$6, 2, FALSE)</f>
        <v>Lending</v>
      </c>
      <c r="E273" s="3" t="s">
        <v>12</v>
      </c>
      <c r="F273" s="3" t="str">
        <f>VLOOKUP(E273, Ref_GLAccount!$A$2:$D$9, 2, FALSE)</f>
        <v>Training &amp; Development</v>
      </c>
      <c r="G273" s="3" t="str">
        <f>VLOOKUP(E273, Ref_GLAccount!$A$2:$D$9, 3, FALSE)</f>
        <v>Other OPEX</v>
      </c>
      <c r="H273" s="6" t="s">
        <v>70</v>
      </c>
      <c r="I273" s="7">
        <v>1456</v>
      </c>
      <c r="J273" s="18" t="b">
        <f>IF(tblFactFinance[[#This Row],[MonthStart]] &lt;= Inputs!$B$1, TRUE, FALSE)</f>
        <v>1</v>
      </c>
    </row>
    <row r="274" spans="1:10" x14ac:dyDescent="0.3">
      <c r="A274" s="15">
        <v>45748</v>
      </c>
      <c r="B274" s="17" t="s">
        <v>57</v>
      </c>
      <c r="C274" s="3" t="s">
        <v>3</v>
      </c>
      <c r="D274" s="3" t="str">
        <f>VLOOKUP(C274, Ref_Department!$A$2:$D$6, 2, FALSE)</f>
        <v>Information Technology</v>
      </c>
      <c r="E274" s="3" t="s">
        <v>33</v>
      </c>
      <c r="F274" s="3" t="str">
        <f>VLOOKUP(E274, Ref_GLAccount!$A$2:$D$9, 2, FALSE)</f>
        <v>Salaries</v>
      </c>
      <c r="G274" s="3" t="str">
        <f>VLOOKUP(E274, Ref_GLAccount!$A$2:$D$9, 3, FALSE)</f>
        <v>Personnel</v>
      </c>
      <c r="H274" s="6" t="s">
        <v>66</v>
      </c>
      <c r="I274" s="7">
        <v>160697.76999999999</v>
      </c>
      <c r="J274" s="18" t="b">
        <f>IF(tblFactFinance[[#This Row],[MonthStart]] &lt;= Inputs!$B$1, TRUE, FALSE)</f>
        <v>1</v>
      </c>
    </row>
    <row r="275" spans="1:10" x14ac:dyDescent="0.3">
      <c r="A275" s="15">
        <v>45748</v>
      </c>
      <c r="B275" s="17" t="s">
        <v>57</v>
      </c>
      <c r="C275" s="3" t="s">
        <v>3</v>
      </c>
      <c r="D275" s="3" t="str">
        <f>VLOOKUP(C275, Ref_Department!$A$2:$D$6, 2, FALSE)</f>
        <v>Information Technology</v>
      </c>
      <c r="E275" s="3" t="s">
        <v>33</v>
      </c>
      <c r="F275" s="3" t="str">
        <f>VLOOKUP(E275, Ref_GLAccount!$A$2:$D$9, 2, FALSE)</f>
        <v>Salaries</v>
      </c>
      <c r="G275" s="3" t="str">
        <f>VLOOKUP(E275, Ref_GLAccount!$A$2:$D$9, 3, FALSE)</f>
        <v>Personnel</v>
      </c>
      <c r="H275" s="6" t="s">
        <v>70</v>
      </c>
      <c r="I275" s="7">
        <v>151410</v>
      </c>
      <c r="J275" s="18" t="b">
        <f>IF(tblFactFinance[[#This Row],[MonthStart]] &lt;= Inputs!$B$1, TRUE, FALSE)</f>
        <v>1</v>
      </c>
    </row>
    <row r="276" spans="1:10" x14ac:dyDescent="0.3">
      <c r="A276" s="15">
        <v>45748</v>
      </c>
      <c r="B276" s="17" t="s">
        <v>57</v>
      </c>
      <c r="C276" s="3" t="s">
        <v>3</v>
      </c>
      <c r="D276" s="3" t="str">
        <f>VLOOKUP(C276, Ref_Department!$A$2:$D$6, 2, FALSE)</f>
        <v>Information Technology</v>
      </c>
      <c r="E276" s="3" t="s">
        <v>37</v>
      </c>
      <c r="F276" s="3" t="str">
        <f>VLOOKUP(E276, Ref_GLAccount!$A$2:$D$9, 2, FALSE)</f>
        <v>Benefits</v>
      </c>
      <c r="G276" s="3" t="str">
        <f>VLOOKUP(E276, Ref_GLAccount!$A$2:$D$9, 3, FALSE)</f>
        <v>Personnel</v>
      </c>
      <c r="H276" s="6" t="s">
        <v>66</v>
      </c>
      <c r="I276" s="7">
        <v>34259.39</v>
      </c>
      <c r="J276" s="18" t="b">
        <f>IF(tblFactFinance[[#This Row],[MonthStart]] &lt;= Inputs!$B$1, TRUE, FALSE)</f>
        <v>1</v>
      </c>
    </row>
    <row r="277" spans="1:10" x14ac:dyDescent="0.3">
      <c r="A277" s="15">
        <v>45748</v>
      </c>
      <c r="B277" s="17" t="s">
        <v>57</v>
      </c>
      <c r="C277" s="3" t="s">
        <v>3</v>
      </c>
      <c r="D277" s="3" t="str">
        <f>VLOOKUP(C277, Ref_Department!$A$2:$D$6, 2, FALSE)</f>
        <v>Information Technology</v>
      </c>
      <c r="E277" s="3" t="s">
        <v>37</v>
      </c>
      <c r="F277" s="3" t="str">
        <f>VLOOKUP(E277, Ref_GLAccount!$A$2:$D$9, 2, FALSE)</f>
        <v>Benefits</v>
      </c>
      <c r="G277" s="3" t="str">
        <f>VLOOKUP(E277, Ref_GLAccount!$A$2:$D$9, 3, FALSE)</f>
        <v>Personnel</v>
      </c>
      <c r="H277" s="6" t="s">
        <v>70</v>
      </c>
      <c r="I277" s="7">
        <v>33310.199999999997</v>
      </c>
      <c r="J277" s="18" t="b">
        <f>IF(tblFactFinance[[#This Row],[MonthStart]] &lt;= Inputs!$B$1, TRUE, FALSE)</f>
        <v>1</v>
      </c>
    </row>
    <row r="278" spans="1:10" x14ac:dyDescent="0.3">
      <c r="A278" s="15">
        <v>45748</v>
      </c>
      <c r="B278" s="17" t="s">
        <v>57</v>
      </c>
      <c r="C278" s="3" t="s">
        <v>3</v>
      </c>
      <c r="D278" s="3" t="str">
        <f>VLOOKUP(C278, Ref_Department!$A$2:$D$6, 2, FALSE)</f>
        <v>Information Technology</v>
      </c>
      <c r="E278" s="3" t="s">
        <v>7</v>
      </c>
      <c r="F278" s="3" t="str">
        <f>VLOOKUP(E278, Ref_GLAccount!$A$2:$D$9, 2, FALSE)</f>
        <v>Occupancy &amp; Facilities</v>
      </c>
      <c r="G278" s="3" t="str">
        <f>VLOOKUP(E278, Ref_GLAccount!$A$2:$D$9, 3, FALSE)</f>
        <v>Facilities</v>
      </c>
      <c r="H278" s="6" t="s">
        <v>66</v>
      </c>
      <c r="I278" s="7">
        <v>9018.75</v>
      </c>
      <c r="J278" s="18" t="b">
        <f>IF(tblFactFinance[[#This Row],[MonthStart]] &lt;= Inputs!$B$1, TRUE, FALSE)</f>
        <v>1</v>
      </c>
    </row>
    <row r="279" spans="1:10" x14ac:dyDescent="0.3">
      <c r="A279" s="15">
        <v>45748</v>
      </c>
      <c r="B279" s="17" t="s">
        <v>57</v>
      </c>
      <c r="C279" s="3" t="s">
        <v>3</v>
      </c>
      <c r="D279" s="3" t="str">
        <f>VLOOKUP(C279, Ref_Department!$A$2:$D$6, 2, FALSE)</f>
        <v>Information Technology</v>
      </c>
      <c r="E279" s="3" t="s">
        <v>7</v>
      </c>
      <c r="F279" s="3" t="str">
        <f>VLOOKUP(E279, Ref_GLAccount!$A$2:$D$9, 2, FALSE)</f>
        <v>Occupancy &amp; Facilities</v>
      </c>
      <c r="G279" s="3" t="str">
        <f>VLOOKUP(E279, Ref_GLAccount!$A$2:$D$9, 3, FALSE)</f>
        <v>Facilities</v>
      </c>
      <c r="H279" s="6" t="s">
        <v>70</v>
      </c>
      <c r="I279" s="7">
        <v>9000</v>
      </c>
      <c r="J279" s="18" t="b">
        <f>IF(tblFactFinance[[#This Row],[MonthStart]] &lt;= Inputs!$B$1, TRUE, FALSE)</f>
        <v>1</v>
      </c>
    </row>
    <row r="280" spans="1:10" x14ac:dyDescent="0.3">
      <c r="A280" s="15">
        <v>45748</v>
      </c>
      <c r="B280" s="17" t="s">
        <v>57</v>
      </c>
      <c r="C280" s="3" t="s">
        <v>3</v>
      </c>
      <c r="D280" s="3" t="str">
        <f>VLOOKUP(C280, Ref_Department!$A$2:$D$6, 2, FALSE)</f>
        <v>Information Technology</v>
      </c>
      <c r="E280" s="3" t="s">
        <v>8</v>
      </c>
      <c r="F280" s="3" t="str">
        <f>VLOOKUP(E280, Ref_GLAccount!$A$2:$D$9, 2, FALSE)</f>
        <v>IT Software &amp; Subscriptions</v>
      </c>
      <c r="G280" s="3" t="str">
        <f>VLOOKUP(E280, Ref_GLAccount!$A$2:$D$9, 3, FALSE)</f>
        <v>IT</v>
      </c>
      <c r="H280" s="6" t="s">
        <v>66</v>
      </c>
      <c r="I280" s="7">
        <v>67768.570000000007</v>
      </c>
      <c r="J280" s="18" t="b">
        <f>IF(tblFactFinance[[#This Row],[MonthStart]] &lt;= Inputs!$B$1, TRUE, FALSE)</f>
        <v>1</v>
      </c>
    </row>
    <row r="281" spans="1:10" x14ac:dyDescent="0.3">
      <c r="A281" s="15">
        <v>45748</v>
      </c>
      <c r="B281" s="17" t="s">
        <v>57</v>
      </c>
      <c r="C281" s="3" t="s">
        <v>3</v>
      </c>
      <c r="D281" s="3" t="str">
        <f>VLOOKUP(C281, Ref_Department!$A$2:$D$6, 2, FALSE)</f>
        <v>Information Technology</v>
      </c>
      <c r="E281" s="3" t="s">
        <v>8</v>
      </c>
      <c r="F281" s="3" t="str">
        <f>VLOOKUP(E281, Ref_GLAccount!$A$2:$D$9, 2, FALSE)</f>
        <v>IT Software &amp; Subscriptions</v>
      </c>
      <c r="G281" s="3" t="str">
        <f>VLOOKUP(E281, Ref_GLAccount!$A$2:$D$9, 3, FALSE)</f>
        <v>IT</v>
      </c>
      <c r="H281" s="6" t="s">
        <v>70</v>
      </c>
      <c r="I281" s="7">
        <v>43680</v>
      </c>
      <c r="J281" s="18" t="b">
        <f>IF(tblFactFinance[[#This Row],[MonthStart]] &lt;= Inputs!$B$1, TRUE, FALSE)</f>
        <v>1</v>
      </c>
    </row>
    <row r="282" spans="1:10" x14ac:dyDescent="0.3">
      <c r="A282" s="15">
        <v>45748</v>
      </c>
      <c r="B282" s="17" t="s">
        <v>57</v>
      </c>
      <c r="C282" s="3" t="s">
        <v>3</v>
      </c>
      <c r="D282" s="3" t="str">
        <f>VLOOKUP(C282, Ref_Department!$A$2:$D$6, 2, FALSE)</f>
        <v>Information Technology</v>
      </c>
      <c r="E282" s="3" t="s">
        <v>9</v>
      </c>
      <c r="F282" s="3" t="str">
        <f>VLOOKUP(E282, Ref_GLAccount!$A$2:$D$9, 2, FALSE)</f>
        <v>Marketing &amp; Advertising</v>
      </c>
      <c r="G282" s="3" t="str">
        <f>VLOOKUP(E282, Ref_GLAccount!$A$2:$D$9, 3, FALSE)</f>
        <v>Marketing</v>
      </c>
      <c r="H282" s="6" t="s">
        <v>66</v>
      </c>
      <c r="I282" s="7">
        <v>1482.11</v>
      </c>
      <c r="J282" s="18" t="b">
        <f>IF(tblFactFinance[[#This Row],[MonthStart]] &lt;= Inputs!$B$1, TRUE, FALSE)</f>
        <v>1</v>
      </c>
    </row>
    <row r="283" spans="1:10" x14ac:dyDescent="0.3">
      <c r="A283" s="15">
        <v>45748</v>
      </c>
      <c r="B283" s="17" t="s">
        <v>57</v>
      </c>
      <c r="C283" s="3" t="s">
        <v>3</v>
      </c>
      <c r="D283" s="3" t="str">
        <f>VLOOKUP(C283, Ref_Department!$A$2:$D$6, 2, FALSE)</f>
        <v>Information Technology</v>
      </c>
      <c r="E283" s="3" t="s">
        <v>9</v>
      </c>
      <c r="F283" s="3" t="str">
        <f>VLOOKUP(E283, Ref_GLAccount!$A$2:$D$9, 2, FALSE)</f>
        <v>Marketing &amp; Advertising</v>
      </c>
      <c r="G283" s="3" t="str">
        <f>VLOOKUP(E283, Ref_GLAccount!$A$2:$D$9, 3, FALSE)</f>
        <v>Marketing</v>
      </c>
      <c r="H283" s="6" t="s">
        <v>70</v>
      </c>
      <c r="I283" s="7">
        <v>1560</v>
      </c>
      <c r="J283" s="18" t="b">
        <f>IF(tblFactFinance[[#This Row],[MonthStart]] &lt;= Inputs!$B$1, TRUE, FALSE)</f>
        <v>1</v>
      </c>
    </row>
    <row r="284" spans="1:10" x14ac:dyDescent="0.3">
      <c r="A284" s="15">
        <v>45748</v>
      </c>
      <c r="B284" s="17" t="s">
        <v>57</v>
      </c>
      <c r="C284" s="3" t="s">
        <v>3</v>
      </c>
      <c r="D284" s="3" t="str">
        <f>VLOOKUP(C284, Ref_Department!$A$2:$D$6, 2, FALSE)</f>
        <v>Information Technology</v>
      </c>
      <c r="E284" s="3" t="s">
        <v>10</v>
      </c>
      <c r="F284" s="3" t="str">
        <f>VLOOKUP(E284, Ref_GLAccount!$A$2:$D$9, 2, FALSE)</f>
        <v>Professional Services</v>
      </c>
      <c r="G284" s="3" t="str">
        <f>VLOOKUP(E284, Ref_GLAccount!$A$2:$D$9, 3, FALSE)</f>
        <v>Professional Services</v>
      </c>
      <c r="H284" s="6" t="s">
        <v>66</v>
      </c>
      <c r="I284" s="7">
        <v>12577.56</v>
      </c>
      <c r="J284" s="18" t="b">
        <f>IF(tblFactFinance[[#This Row],[MonthStart]] &lt;= Inputs!$B$1, TRUE, FALSE)</f>
        <v>1</v>
      </c>
    </row>
    <row r="285" spans="1:10" x14ac:dyDescent="0.3">
      <c r="A285" s="15">
        <v>45748</v>
      </c>
      <c r="B285" s="17" t="s">
        <v>57</v>
      </c>
      <c r="C285" s="3" t="s">
        <v>3</v>
      </c>
      <c r="D285" s="3" t="str">
        <f>VLOOKUP(C285, Ref_Department!$A$2:$D$6, 2, FALSE)</f>
        <v>Information Technology</v>
      </c>
      <c r="E285" s="3" t="s">
        <v>10</v>
      </c>
      <c r="F285" s="3" t="str">
        <f>VLOOKUP(E285, Ref_GLAccount!$A$2:$D$9, 2, FALSE)</f>
        <v>Professional Services</v>
      </c>
      <c r="G285" s="3" t="str">
        <f>VLOOKUP(E285, Ref_GLAccount!$A$2:$D$9, 3, FALSE)</f>
        <v>Professional Services</v>
      </c>
      <c r="H285" s="6" t="s">
        <v>70</v>
      </c>
      <c r="I285" s="7">
        <v>12480</v>
      </c>
      <c r="J285" s="18" t="b">
        <f>IF(tblFactFinance[[#This Row],[MonthStart]] &lt;= Inputs!$B$1, TRUE, FALSE)</f>
        <v>1</v>
      </c>
    </row>
    <row r="286" spans="1:10" x14ac:dyDescent="0.3">
      <c r="A286" s="15">
        <v>45748</v>
      </c>
      <c r="B286" s="17" t="s">
        <v>57</v>
      </c>
      <c r="C286" s="3" t="s">
        <v>3</v>
      </c>
      <c r="D286" s="3" t="str">
        <f>VLOOKUP(C286, Ref_Department!$A$2:$D$6, 2, FALSE)</f>
        <v>Information Technology</v>
      </c>
      <c r="E286" s="3" t="s">
        <v>11</v>
      </c>
      <c r="F286" s="3" t="str">
        <f>VLOOKUP(E286, Ref_GLAccount!$A$2:$D$9, 2, FALSE)</f>
        <v>Office Supplies</v>
      </c>
      <c r="G286" s="3" t="str">
        <f>VLOOKUP(E286, Ref_GLAccount!$A$2:$D$9, 3, FALSE)</f>
        <v>Other OPEX</v>
      </c>
      <c r="H286" s="6" t="s">
        <v>66</v>
      </c>
      <c r="I286" s="7">
        <v>825.62</v>
      </c>
      <c r="J286" s="18" t="b">
        <f>IF(tblFactFinance[[#This Row],[MonthStart]] &lt;= Inputs!$B$1, TRUE, FALSE)</f>
        <v>1</v>
      </c>
    </row>
    <row r="287" spans="1:10" x14ac:dyDescent="0.3">
      <c r="A287" s="15">
        <v>45748</v>
      </c>
      <c r="B287" s="17" t="s">
        <v>57</v>
      </c>
      <c r="C287" s="3" t="s">
        <v>3</v>
      </c>
      <c r="D287" s="3" t="str">
        <f>VLOOKUP(C287, Ref_Department!$A$2:$D$6, 2, FALSE)</f>
        <v>Information Technology</v>
      </c>
      <c r="E287" s="3" t="s">
        <v>11</v>
      </c>
      <c r="F287" s="3" t="str">
        <f>VLOOKUP(E287, Ref_GLAccount!$A$2:$D$9, 2, FALSE)</f>
        <v>Office Supplies</v>
      </c>
      <c r="G287" s="3" t="str">
        <f>VLOOKUP(E287, Ref_GLAccount!$A$2:$D$9, 3, FALSE)</f>
        <v>Other OPEX</v>
      </c>
      <c r="H287" s="6" t="s">
        <v>70</v>
      </c>
      <c r="I287" s="7">
        <v>832</v>
      </c>
      <c r="J287" s="18" t="b">
        <f>IF(tblFactFinance[[#This Row],[MonthStart]] &lt;= Inputs!$B$1, TRUE, FALSE)</f>
        <v>1</v>
      </c>
    </row>
    <row r="288" spans="1:10" x14ac:dyDescent="0.3">
      <c r="A288" s="15">
        <v>45748</v>
      </c>
      <c r="B288" s="17" t="s">
        <v>57</v>
      </c>
      <c r="C288" s="3" t="s">
        <v>3</v>
      </c>
      <c r="D288" s="3" t="str">
        <f>VLOOKUP(C288, Ref_Department!$A$2:$D$6, 2, FALSE)</f>
        <v>Information Technology</v>
      </c>
      <c r="E288" s="3" t="s">
        <v>12</v>
      </c>
      <c r="F288" s="3" t="str">
        <f>VLOOKUP(E288, Ref_GLAccount!$A$2:$D$9, 2, FALSE)</f>
        <v>Training &amp; Development</v>
      </c>
      <c r="G288" s="3" t="str">
        <f>VLOOKUP(E288, Ref_GLAccount!$A$2:$D$9, 3, FALSE)</f>
        <v>Other OPEX</v>
      </c>
      <c r="H288" s="6" t="s">
        <v>66</v>
      </c>
      <c r="I288" s="7">
        <v>2023.28</v>
      </c>
      <c r="J288" s="18" t="b">
        <f>IF(tblFactFinance[[#This Row],[MonthStart]] &lt;= Inputs!$B$1, TRUE, FALSE)</f>
        <v>1</v>
      </c>
    </row>
    <row r="289" spans="1:10" x14ac:dyDescent="0.3">
      <c r="A289" s="15">
        <v>45748</v>
      </c>
      <c r="B289" s="17" t="s">
        <v>57</v>
      </c>
      <c r="C289" s="3" t="s">
        <v>3</v>
      </c>
      <c r="D289" s="3" t="str">
        <f>VLOOKUP(C289, Ref_Department!$A$2:$D$6, 2, FALSE)</f>
        <v>Information Technology</v>
      </c>
      <c r="E289" s="3" t="s">
        <v>12</v>
      </c>
      <c r="F289" s="3" t="str">
        <f>VLOOKUP(E289, Ref_GLAccount!$A$2:$D$9, 2, FALSE)</f>
        <v>Training &amp; Development</v>
      </c>
      <c r="G289" s="3" t="str">
        <f>VLOOKUP(E289, Ref_GLAccount!$A$2:$D$9, 3, FALSE)</f>
        <v>Other OPEX</v>
      </c>
      <c r="H289" s="6" t="s">
        <v>70</v>
      </c>
      <c r="I289" s="7">
        <v>1872</v>
      </c>
      <c r="J289" s="18" t="b">
        <f>IF(tblFactFinance[[#This Row],[MonthStart]] &lt;= Inputs!$B$1, TRUE, FALSE)</f>
        <v>1</v>
      </c>
    </row>
    <row r="290" spans="1:10" x14ac:dyDescent="0.3">
      <c r="A290" s="15">
        <v>45748</v>
      </c>
      <c r="B290" s="17" t="s">
        <v>57</v>
      </c>
      <c r="C290" s="3" t="s">
        <v>4</v>
      </c>
      <c r="D290" s="3" t="str">
        <f>VLOOKUP(C290, Ref_Department!$A$2:$D$6, 2, FALSE)</f>
        <v>Marketing</v>
      </c>
      <c r="E290" s="3" t="s">
        <v>33</v>
      </c>
      <c r="F290" s="3" t="str">
        <f>VLOOKUP(E290, Ref_GLAccount!$A$2:$D$9, 2, FALSE)</f>
        <v>Salaries</v>
      </c>
      <c r="G290" s="3" t="str">
        <f>VLOOKUP(E290, Ref_GLAccount!$A$2:$D$9, 3, FALSE)</f>
        <v>Personnel</v>
      </c>
      <c r="H290" s="6" t="s">
        <v>66</v>
      </c>
      <c r="I290" s="7">
        <v>62801.61</v>
      </c>
      <c r="J290" s="18" t="b">
        <f>IF(tblFactFinance[[#This Row],[MonthStart]] &lt;= Inputs!$B$1, TRUE, FALSE)</f>
        <v>1</v>
      </c>
    </row>
    <row r="291" spans="1:10" x14ac:dyDescent="0.3">
      <c r="A291" s="15">
        <v>45748</v>
      </c>
      <c r="B291" s="17" t="s">
        <v>57</v>
      </c>
      <c r="C291" s="3" t="s">
        <v>4</v>
      </c>
      <c r="D291" s="3" t="str">
        <f>VLOOKUP(C291, Ref_Department!$A$2:$D$6, 2, FALSE)</f>
        <v>Marketing</v>
      </c>
      <c r="E291" s="3" t="s">
        <v>33</v>
      </c>
      <c r="F291" s="3" t="str">
        <f>VLOOKUP(E291, Ref_GLAccount!$A$2:$D$9, 2, FALSE)</f>
        <v>Salaries</v>
      </c>
      <c r="G291" s="3" t="str">
        <f>VLOOKUP(E291, Ref_GLAccount!$A$2:$D$9, 3, FALSE)</f>
        <v>Personnel</v>
      </c>
      <c r="H291" s="6" t="s">
        <v>70</v>
      </c>
      <c r="I291" s="7">
        <v>64375</v>
      </c>
      <c r="J291" s="18" t="b">
        <f>IF(tblFactFinance[[#This Row],[MonthStart]] &lt;= Inputs!$B$1, TRUE, FALSE)</f>
        <v>1</v>
      </c>
    </row>
    <row r="292" spans="1:10" x14ac:dyDescent="0.3">
      <c r="A292" s="15">
        <v>45748</v>
      </c>
      <c r="B292" s="17" t="s">
        <v>57</v>
      </c>
      <c r="C292" s="3" t="s">
        <v>4</v>
      </c>
      <c r="D292" s="3" t="str">
        <f>VLOOKUP(C292, Ref_Department!$A$2:$D$6, 2, FALSE)</f>
        <v>Marketing</v>
      </c>
      <c r="E292" s="3" t="s">
        <v>37</v>
      </c>
      <c r="F292" s="3" t="str">
        <f>VLOOKUP(E292, Ref_GLAccount!$A$2:$D$9, 2, FALSE)</f>
        <v>Benefits</v>
      </c>
      <c r="G292" s="3" t="str">
        <f>VLOOKUP(E292, Ref_GLAccount!$A$2:$D$9, 3, FALSE)</f>
        <v>Personnel</v>
      </c>
      <c r="H292" s="6" t="s">
        <v>66</v>
      </c>
      <c r="I292" s="7">
        <v>14344</v>
      </c>
      <c r="J292" s="18" t="b">
        <f>IF(tblFactFinance[[#This Row],[MonthStart]] &lt;= Inputs!$B$1, TRUE, FALSE)</f>
        <v>1</v>
      </c>
    </row>
    <row r="293" spans="1:10" x14ac:dyDescent="0.3">
      <c r="A293" s="15">
        <v>45748</v>
      </c>
      <c r="B293" s="17" t="s">
        <v>57</v>
      </c>
      <c r="C293" s="3" t="s">
        <v>4</v>
      </c>
      <c r="D293" s="3" t="str">
        <f>VLOOKUP(C293, Ref_Department!$A$2:$D$6, 2, FALSE)</f>
        <v>Marketing</v>
      </c>
      <c r="E293" s="3" t="s">
        <v>37</v>
      </c>
      <c r="F293" s="3" t="str">
        <f>VLOOKUP(E293, Ref_GLAccount!$A$2:$D$9, 2, FALSE)</f>
        <v>Benefits</v>
      </c>
      <c r="G293" s="3" t="str">
        <f>VLOOKUP(E293, Ref_GLAccount!$A$2:$D$9, 3, FALSE)</f>
        <v>Personnel</v>
      </c>
      <c r="H293" s="6" t="s">
        <v>70</v>
      </c>
      <c r="I293" s="7">
        <v>14162.5</v>
      </c>
      <c r="J293" s="18" t="b">
        <f>IF(tblFactFinance[[#This Row],[MonthStart]] &lt;= Inputs!$B$1, TRUE, FALSE)</f>
        <v>1</v>
      </c>
    </row>
    <row r="294" spans="1:10" x14ac:dyDescent="0.3">
      <c r="A294" s="15">
        <v>45748</v>
      </c>
      <c r="B294" s="17" t="s">
        <v>57</v>
      </c>
      <c r="C294" s="3" t="s">
        <v>4</v>
      </c>
      <c r="D294" s="3" t="str">
        <f>VLOOKUP(C294, Ref_Department!$A$2:$D$6, 2, FALSE)</f>
        <v>Marketing</v>
      </c>
      <c r="E294" s="3" t="s">
        <v>7</v>
      </c>
      <c r="F294" s="3" t="str">
        <f>VLOOKUP(E294, Ref_GLAccount!$A$2:$D$9, 2, FALSE)</f>
        <v>Occupancy &amp; Facilities</v>
      </c>
      <c r="G294" s="3" t="str">
        <f>VLOOKUP(E294, Ref_GLAccount!$A$2:$D$9, 3, FALSE)</f>
        <v>Facilities</v>
      </c>
      <c r="H294" s="6" t="s">
        <v>66</v>
      </c>
      <c r="I294" s="7">
        <v>5623.44</v>
      </c>
      <c r="J294" s="18" t="b">
        <f>IF(tblFactFinance[[#This Row],[MonthStart]] &lt;= Inputs!$B$1, TRUE, FALSE)</f>
        <v>1</v>
      </c>
    </row>
    <row r="295" spans="1:10" x14ac:dyDescent="0.3">
      <c r="A295" s="15">
        <v>45748</v>
      </c>
      <c r="B295" s="17" t="s">
        <v>57</v>
      </c>
      <c r="C295" s="3" t="s">
        <v>4</v>
      </c>
      <c r="D295" s="3" t="str">
        <f>VLOOKUP(C295, Ref_Department!$A$2:$D$6, 2, FALSE)</f>
        <v>Marketing</v>
      </c>
      <c r="E295" s="3" t="s">
        <v>7</v>
      </c>
      <c r="F295" s="3" t="str">
        <f>VLOOKUP(E295, Ref_GLAccount!$A$2:$D$9, 2, FALSE)</f>
        <v>Occupancy &amp; Facilities</v>
      </c>
      <c r="G295" s="3" t="str">
        <f>VLOOKUP(E295, Ref_GLAccount!$A$2:$D$9, 3, FALSE)</f>
        <v>Facilities</v>
      </c>
      <c r="H295" s="6" t="s">
        <v>70</v>
      </c>
      <c r="I295" s="7">
        <v>6000</v>
      </c>
      <c r="J295" s="18" t="b">
        <f>IF(tblFactFinance[[#This Row],[MonthStart]] &lt;= Inputs!$B$1, TRUE, FALSE)</f>
        <v>1</v>
      </c>
    </row>
    <row r="296" spans="1:10" x14ac:dyDescent="0.3">
      <c r="A296" s="15">
        <v>45748</v>
      </c>
      <c r="B296" s="17" t="s">
        <v>57</v>
      </c>
      <c r="C296" s="3" t="s">
        <v>4</v>
      </c>
      <c r="D296" s="3" t="str">
        <f>VLOOKUP(C296, Ref_Department!$A$2:$D$6, 2, FALSE)</f>
        <v>Marketing</v>
      </c>
      <c r="E296" s="3" t="s">
        <v>8</v>
      </c>
      <c r="F296" s="3" t="str">
        <f>VLOOKUP(E296, Ref_GLAccount!$A$2:$D$9, 2, FALSE)</f>
        <v>IT Software &amp; Subscriptions</v>
      </c>
      <c r="G296" s="3" t="str">
        <f>VLOOKUP(E296, Ref_GLAccount!$A$2:$D$9, 3, FALSE)</f>
        <v>IT</v>
      </c>
      <c r="H296" s="6" t="s">
        <v>66</v>
      </c>
      <c r="I296" s="7">
        <v>7164.84</v>
      </c>
      <c r="J296" s="18" t="b">
        <f>IF(tblFactFinance[[#This Row],[MonthStart]] &lt;= Inputs!$B$1, TRUE, FALSE)</f>
        <v>1</v>
      </c>
    </row>
    <row r="297" spans="1:10" x14ac:dyDescent="0.3">
      <c r="A297" s="15">
        <v>45748</v>
      </c>
      <c r="B297" s="17" t="s">
        <v>57</v>
      </c>
      <c r="C297" s="3" t="s">
        <v>4</v>
      </c>
      <c r="D297" s="3" t="str">
        <f>VLOOKUP(C297, Ref_Department!$A$2:$D$6, 2, FALSE)</f>
        <v>Marketing</v>
      </c>
      <c r="E297" s="3" t="s">
        <v>8</v>
      </c>
      <c r="F297" s="3" t="str">
        <f>VLOOKUP(E297, Ref_GLAccount!$A$2:$D$9, 2, FALSE)</f>
        <v>IT Software &amp; Subscriptions</v>
      </c>
      <c r="G297" s="3" t="str">
        <f>VLOOKUP(E297, Ref_GLAccount!$A$2:$D$9, 3, FALSE)</f>
        <v>IT</v>
      </c>
      <c r="H297" s="6" t="s">
        <v>70</v>
      </c>
      <c r="I297" s="7">
        <v>7280</v>
      </c>
      <c r="J297" s="18" t="b">
        <f>IF(tblFactFinance[[#This Row],[MonthStart]] &lt;= Inputs!$B$1, TRUE, FALSE)</f>
        <v>1</v>
      </c>
    </row>
    <row r="298" spans="1:10" x14ac:dyDescent="0.3">
      <c r="A298" s="15">
        <v>45748</v>
      </c>
      <c r="B298" s="17" t="s">
        <v>57</v>
      </c>
      <c r="C298" s="3" t="s">
        <v>4</v>
      </c>
      <c r="D298" s="3" t="str">
        <f>VLOOKUP(C298, Ref_Department!$A$2:$D$6, 2, FALSE)</f>
        <v>Marketing</v>
      </c>
      <c r="E298" s="3" t="s">
        <v>9</v>
      </c>
      <c r="F298" s="3" t="str">
        <f>VLOOKUP(E298, Ref_GLAccount!$A$2:$D$9, 2, FALSE)</f>
        <v>Marketing &amp; Advertising</v>
      </c>
      <c r="G298" s="3" t="str">
        <f>VLOOKUP(E298, Ref_GLAccount!$A$2:$D$9, 3, FALSE)</f>
        <v>Marketing</v>
      </c>
      <c r="H298" s="6" t="s">
        <v>66</v>
      </c>
      <c r="I298" s="7">
        <v>29424.19</v>
      </c>
      <c r="J298" s="18" t="b">
        <f>IF(tblFactFinance[[#This Row],[MonthStart]] &lt;= Inputs!$B$1, TRUE, FALSE)</f>
        <v>1</v>
      </c>
    </row>
    <row r="299" spans="1:10" x14ac:dyDescent="0.3">
      <c r="A299" s="15">
        <v>45748</v>
      </c>
      <c r="B299" s="17" t="s">
        <v>57</v>
      </c>
      <c r="C299" s="3" t="s">
        <v>4</v>
      </c>
      <c r="D299" s="3" t="str">
        <f>VLOOKUP(C299, Ref_Department!$A$2:$D$6, 2, FALSE)</f>
        <v>Marketing</v>
      </c>
      <c r="E299" s="3" t="s">
        <v>9</v>
      </c>
      <c r="F299" s="3" t="str">
        <f>VLOOKUP(E299, Ref_GLAccount!$A$2:$D$9, 2, FALSE)</f>
        <v>Marketing &amp; Advertising</v>
      </c>
      <c r="G299" s="3" t="str">
        <f>VLOOKUP(E299, Ref_GLAccount!$A$2:$D$9, 3, FALSE)</f>
        <v>Marketing</v>
      </c>
      <c r="H299" s="6" t="s">
        <v>70</v>
      </c>
      <c r="I299" s="7">
        <v>29120</v>
      </c>
      <c r="J299" s="18" t="b">
        <f>IF(tblFactFinance[[#This Row],[MonthStart]] &lt;= Inputs!$B$1, TRUE, FALSE)</f>
        <v>1</v>
      </c>
    </row>
    <row r="300" spans="1:10" x14ac:dyDescent="0.3">
      <c r="A300" s="15">
        <v>45748</v>
      </c>
      <c r="B300" s="17" t="s">
        <v>57</v>
      </c>
      <c r="C300" s="3" t="s">
        <v>4</v>
      </c>
      <c r="D300" s="3" t="str">
        <f>VLOOKUP(C300, Ref_Department!$A$2:$D$6, 2, FALSE)</f>
        <v>Marketing</v>
      </c>
      <c r="E300" s="3" t="s">
        <v>10</v>
      </c>
      <c r="F300" s="3" t="str">
        <f>VLOOKUP(E300, Ref_GLAccount!$A$2:$D$9, 2, FALSE)</f>
        <v>Professional Services</v>
      </c>
      <c r="G300" s="3" t="str">
        <f>VLOOKUP(E300, Ref_GLAccount!$A$2:$D$9, 3, FALSE)</f>
        <v>Professional Services</v>
      </c>
      <c r="H300" s="6" t="s">
        <v>66</v>
      </c>
      <c r="I300" s="7">
        <v>6445.66</v>
      </c>
      <c r="J300" s="18" t="b">
        <f>IF(tblFactFinance[[#This Row],[MonthStart]] &lt;= Inputs!$B$1, TRUE, FALSE)</f>
        <v>1</v>
      </c>
    </row>
    <row r="301" spans="1:10" x14ac:dyDescent="0.3">
      <c r="A301" s="15">
        <v>45748</v>
      </c>
      <c r="B301" s="17" t="s">
        <v>57</v>
      </c>
      <c r="C301" s="3" t="s">
        <v>4</v>
      </c>
      <c r="D301" s="3" t="str">
        <f>VLOOKUP(C301, Ref_Department!$A$2:$D$6, 2, FALSE)</f>
        <v>Marketing</v>
      </c>
      <c r="E301" s="3" t="s">
        <v>10</v>
      </c>
      <c r="F301" s="3" t="str">
        <f>VLOOKUP(E301, Ref_GLAccount!$A$2:$D$9, 2, FALSE)</f>
        <v>Professional Services</v>
      </c>
      <c r="G301" s="3" t="str">
        <f>VLOOKUP(E301, Ref_GLAccount!$A$2:$D$9, 3, FALSE)</f>
        <v>Professional Services</v>
      </c>
      <c r="H301" s="6" t="s">
        <v>70</v>
      </c>
      <c r="I301" s="7">
        <v>6240</v>
      </c>
      <c r="J301" s="18" t="b">
        <f>IF(tblFactFinance[[#This Row],[MonthStart]] &lt;= Inputs!$B$1, TRUE, FALSE)</f>
        <v>1</v>
      </c>
    </row>
    <row r="302" spans="1:10" x14ac:dyDescent="0.3">
      <c r="A302" s="15">
        <v>45748</v>
      </c>
      <c r="B302" s="17" t="s">
        <v>57</v>
      </c>
      <c r="C302" s="3" t="s">
        <v>4</v>
      </c>
      <c r="D302" s="3" t="str">
        <f>VLOOKUP(C302, Ref_Department!$A$2:$D$6, 2, FALSE)</f>
        <v>Marketing</v>
      </c>
      <c r="E302" s="3" t="s">
        <v>11</v>
      </c>
      <c r="F302" s="3" t="str">
        <f>VLOOKUP(E302, Ref_GLAccount!$A$2:$D$9, 2, FALSE)</f>
        <v>Office Supplies</v>
      </c>
      <c r="G302" s="3" t="str">
        <f>VLOOKUP(E302, Ref_GLAccount!$A$2:$D$9, 3, FALSE)</f>
        <v>Other OPEX</v>
      </c>
      <c r="H302" s="6" t="s">
        <v>66</v>
      </c>
      <c r="I302" s="7">
        <v>770.17</v>
      </c>
      <c r="J302" s="18" t="b">
        <f>IF(tblFactFinance[[#This Row],[MonthStart]] &lt;= Inputs!$B$1, TRUE, FALSE)</f>
        <v>1</v>
      </c>
    </row>
    <row r="303" spans="1:10" x14ac:dyDescent="0.3">
      <c r="A303" s="15">
        <v>45748</v>
      </c>
      <c r="B303" s="17" t="s">
        <v>57</v>
      </c>
      <c r="C303" s="3" t="s">
        <v>4</v>
      </c>
      <c r="D303" s="3" t="str">
        <f>VLOOKUP(C303, Ref_Department!$A$2:$D$6, 2, FALSE)</f>
        <v>Marketing</v>
      </c>
      <c r="E303" s="3" t="s">
        <v>11</v>
      </c>
      <c r="F303" s="3" t="str">
        <f>VLOOKUP(E303, Ref_GLAccount!$A$2:$D$9, 2, FALSE)</f>
        <v>Office Supplies</v>
      </c>
      <c r="G303" s="3" t="str">
        <f>VLOOKUP(E303, Ref_GLAccount!$A$2:$D$9, 3, FALSE)</f>
        <v>Other OPEX</v>
      </c>
      <c r="H303" s="6" t="s">
        <v>70</v>
      </c>
      <c r="I303" s="7">
        <v>728</v>
      </c>
      <c r="J303" s="18" t="b">
        <f>IF(tblFactFinance[[#This Row],[MonthStart]] &lt;= Inputs!$B$1, TRUE, FALSE)</f>
        <v>1</v>
      </c>
    </row>
    <row r="304" spans="1:10" x14ac:dyDescent="0.3">
      <c r="A304" s="15">
        <v>45748</v>
      </c>
      <c r="B304" s="17" t="s">
        <v>57</v>
      </c>
      <c r="C304" s="3" t="s">
        <v>4</v>
      </c>
      <c r="D304" s="3" t="str">
        <f>VLOOKUP(C304, Ref_Department!$A$2:$D$6, 2, FALSE)</f>
        <v>Marketing</v>
      </c>
      <c r="E304" s="3" t="s">
        <v>12</v>
      </c>
      <c r="F304" s="3" t="str">
        <f>VLOOKUP(E304, Ref_GLAccount!$A$2:$D$9, 2, FALSE)</f>
        <v>Training &amp; Development</v>
      </c>
      <c r="G304" s="3" t="str">
        <f>VLOOKUP(E304, Ref_GLAccount!$A$2:$D$9, 3, FALSE)</f>
        <v>Other OPEX</v>
      </c>
      <c r="H304" s="6" t="s">
        <v>66</v>
      </c>
      <c r="I304" s="7">
        <v>1141.98</v>
      </c>
      <c r="J304" s="18" t="b">
        <f>IF(tblFactFinance[[#This Row],[MonthStart]] &lt;= Inputs!$B$1, TRUE, FALSE)</f>
        <v>1</v>
      </c>
    </row>
    <row r="305" spans="1:10" x14ac:dyDescent="0.3">
      <c r="A305" s="15">
        <v>45748</v>
      </c>
      <c r="B305" s="17" t="s">
        <v>57</v>
      </c>
      <c r="C305" s="3" t="s">
        <v>4</v>
      </c>
      <c r="D305" s="3" t="str">
        <f>VLOOKUP(C305, Ref_Department!$A$2:$D$6, 2, FALSE)</f>
        <v>Marketing</v>
      </c>
      <c r="E305" s="3" t="s">
        <v>12</v>
      </c>
      <c r="F305" s="3" t="str">
        <f>VLOOKUP(E305, Ref_GLAccount!$A$2:$D$9, 2, FALSE)</f>
        <v>Training &amp; Development</v>
      </c>
      <c r="G305" s="3" t="str">
        <f>VLOOKUP(E305, Ref_GLAccount!$A$2:$D$9, 3, FALSE)</f>
        <v>Other OPEX</v>
      </c>
      <c r="H305" s="6" t="s">
        <v>70</v>
      </c>
      <c r="I305" s="7">
        <v>1144</v>
      </c>
      <c r="J305" s="18" t="b">
        <f>IF(tblFactFinance[[#This Row],[MonthStart]] &lt;= Inputs!$B$1, TRUE, FALSE)</f>
        <v>1</v>
      </c>
    </row>
    <row r="306" spans="1:10" x14ac:dyDescent="0.3">
      <c r="A306" s="15">
        <v>45748</v>
      </c>
      <c r="B306" s="17" t="s">
        <v>57</v>
      </c>
      <c r="C306" s="3" t="s">
        <v>5</v>
      </c>
      <c r="D306" s="3" t="str">
        <f>VLOOKUP(C306, Ref_Department!$A$2:$D$6, 2, FALSE)</f>
        <v>Human Resources</v>
      </c>
      <c r="E306" s="3" t="s">
        <v>33</v>
      </c>
      <c r="F306" s="3" t="str">
        <f>VLOOKUP(E306, Ref_GLAccount!$A$2:$D$9, 2, FALSE)</f>
        <v>Salaries</v>
      </c>
      <c r="G306" s="3" t="str">
        <f>VLOOKUP(E306, Ref_GLAccount!$A$2:$D$9, 3, FALSE)</f>
        <v>Personnel</v>
      </c>
      <c r="H306" s="6" t="s">
        <v>66</v>
      </c>
      <c r="I306" s="7">
        <v>51166.41</v>
      </c>
      <c r="J306" s="18" t="b">
        <f>IF(tblFactFinance[[#This Row],[MonthStart]] &lt;= Inputs!$B$1, TRUE, FALSE)</f>
        <v>1</v>
      </c>
    </row>
    <row r="307" spans="1:10" x14ac:dyDescent="0.3">
      <c r="A307" s="15">
        <v>45748</v>
      </c>
      <c r="B307" s="17" t="s">
        <v>57</v>
      </c>
      <c r="C307" s="3" t="s">
        <v>5</v>
      </c>
      <c r="D307" s="3" t="str">
        <f>VLOOKUP(C307, Ref_Department!$A$2:$D$6, 2, FALSE)</f>
        <v>Human Resources</v>
      </c>
      <c r="E307" s="3" t="s">
        <v>33</v>
      </c>
      <c r="F307" s="3" t="str">
        <f>VLOOKUP(E307, Ref_GLAccount!$A$2:$D$9, 2, FALSE)</f>
        <v>Salaries</v>
      </c>
      <c r="G307" s="3" t="str">
        <f>VLOOKUP(E307, Ref_GLAccount!$A$2:$D$9, 3, FALSE)</f>
        <v>Personnel</v>
      </c>
      <c r="H307" s="6" t="s">
        <v>70</v>
      </c>
      <c r="I307" s="7">
        <v>53560</v>
      </c>
      <c r="J307" s="18" t="b">
        <f>IF(tblFactFinance[[#This Row],[MonthStart]] &lt;= Inputs!$B$1, TRUE, FALSE)</f>
        <v>1</v>
      </c>
    </row>
    <row r="308" spans="1:10" x14ac:dyDescent="0.3">
      <c r="A308" s="15">
        <v>45748</v>
      </c>
      <c r="B308" s="17" t="s">
        <v>57</v>
      </c>
      <c r="C308" s="3" t="s">
        <v>5</v>
      </c>
      <c r="D308" s="3" t="str">
        <f>VLOOKUP(C308, Ref_Department!$A$2:$D$6, 2, FALSE)</f>
        <v>Human Resources</v>
      </c>
      <c r="E308" s="3" t="s">
        <v>37</v>
      </c>
      <c r="F308" s="3" t="str">
        <f>VLOOKUP(E308, Ref_GLAccount!$A$2:$D$9, 2, FALSE)</f>
        <v>Benefits</v>
      </c>
      <c r="G308" s="3" t="str">
        <f>VLOOKUP(E308, Ref_GLAccount!$A$2:$D$9, 3, FALSE)</f>
        <v>Personnel</v>
      </c>
      <c r="H308" s="6" t="s">
        <v>66</v>
      </c>
      <c r="I308" s="7">
        <v>11999</v>
      </c>
      <c r="J308" s="18" t="b">
        <f>IF(tblFactFinance[[#This Row],[MonthStart]] &lt;= Inputs!$B$1, TRUE, FALSE)</f>
        <v>1</v>
      </c>
    </row>
    <row r="309" spans="1:10" x14ac:dyDescent="0.3">
      <c r="A309" s="15">
        <v>45748</v>
      </c>
      <c r="B309" s="17" t="s">
        <v>57</v>
      </c>
      <c r="C309" s="3" t="s">
        <v>5</v>
      </c>
      <c r="D309" s="3" t="str">
        <f>VLOOKUP(C309, Ref_Department!$A$2:$D$6, 2, FALSE)</f>
        <v>Human Resources</v>
      </c>
      <c r="E309" s="3" t="s">
        <v>37</v>
      </c>
      <c r="F309" s="3" t="str">
        <f>VLOOKUP(E309, Ref_GLAccount!$A$2:$D$9, 2, FALSE)</f>
        <v>Benefits</v>
      </c>
      <c r="G309" s="3" t="str">
        <f>VLOOKUP(E309, Ref_GLAccount!$A$2:$D$9, 3, FALSE)</f>
        <v>Personnel</v>
      </c>
      <c r="H309" s="6" t="s">
        <v>70</v>
      </c>
      <c r="I309" s="7">
        <v>11783.2</v>
      </c>
      <c r="J309" s="18" t="b">
        <f>IF(tblFactFinance[[#This Row],[MonthStart]] &lt;= Inputs!$B$1, TRUE, FALSE)</f>
        <v>1</v>
      </c>
    </row>
    <row r="310" spans="1:10" x14ac:dyDescent="0.3">
      <c r="A310" s="15">
        <v>45748</v>
      </c>
      <c r="B310" s="17" t="s">
        <v>57</v>
      </c>
      <c r="C310" s="3" t="s">
        <v>5</v>
      </c>
      <c r="D310" s="3" t="str">
        <f>VLOOKUP(C310, Ref_Department!$A$2:$D$6, 2, FALSE)</f>
        <v>Human Resources</v>
      </c>
      <c r="E310" s="3" t="s">
        <v>7</v>
      </c>
      <c r="F310" s="3" t="str">
        <f>VLOOKUP(E310, Ref_GLAccount!$A$2:$D$9, 2, FALSE)</f>
        <v>Occupancy &amp; Facilities</v>
      </c>
      <c r="G310" s="3" t="str">
        <f>VLOOKUP(E310, Ref_GLAccount!$A$2:$D$9, 3, FALSE)</f>
        <v>Facilities</v>
      </c>
      <c r="H310" s="6" t="s">
        <v>66</v>
      </c>
      <c r="I310" s="7">
        <v>4082.72</v>
      </c>
      <c r="J310" s="18" t="b">
        <f>IF(tblFactFinance[[#This Row],[MonthStart]] &lt;= Inputs!$B$1, TRUE, FALSE)</f>
        <v>1</v>
      </c>
    </row>
    <row r="311" spans="1:10" x14ac:dyDescent="0.3">
      <c r="A311" s="15">
        <v>45748</v>
      </c>
      <c r="B311" s="17" t="s">
        <v>57</v>
      </c>
      <c r="C311" s="3" t="s">
        <v>5</v>
      </c>
      <c r="D311" s="3" t="str">
        <f>VLOOKUP(C311, Ref_Department!$A$2:$D$6, 2, FALSE)</f>
        <v>Human Resources</v>
      </c>
      <c r="E311" s="3" t="s">
        <v>7</v>
      </c>
      <c r="F311" s="3" t="str">
        <f>VLOOKUP(E311, Ref_GLAccount!$A$2:$D$9, 2, FALSE)</f>
        <v>Occupancy &amp; Facilities</v>
      </c>
      <c r="G311" s="3" t="str">
        <f>VLOOKUP(E311, Ref_GLAccount!$A$2:$D$9, 3, FALSE)</f>
        <v>Facilities</v>
      </c>
      <c r="H311" s="6" t="s">
        <v>70</v>
      </c>
      <c r="I311" s="7">
        <v>4000</v>
      </c>
      <c r="J311" s="18" t="b">
        <f>IF(tblFactFinance[[#This Row],[MonthStart]] &lt;= Inputs!$B$1, TRUE, FALSE)</f>
        <v>1</v>
      </c>
    </row>
    <row r="312" spans="1:10" x14ac:dyDescent="0.3">
      <c r="A312" s="15">
        <v>45748</v>
      </c>
      <c r="B312" s="17" t="s">
        <v>57</v>
      </c>
      <c r="C312" s="3" t="s">
        <v>5</v>
      </c>
      <c r="D312" s="3" t="str">
        <f>VLOOKUP(C312, Ref_Department!$A$2:$D$6, 2, FALSE)</f>
        <v>Human Resources</v>
      </c>
      <c r="E312" s="3" t="s">
        <v>8</v>
      </c>
      <c r="F312" s="3" t="str">
        <f>VLOOKUP(E312, Ref_GLAccount!$A$2:$D$9, 2, FALSE)</f>
        <v>IT Software &amp; Subscriptions</v>
      </c>
      <c r="G312" s="3" t="str">
        <f>VLOOKUP(E312, Ref_GLAccount!$A$2:$D$9, 3, FALSE)</f>
        <v>IT</v>
      </c>
      <c r="H312" s="6" t="s">
        <v>66</v>
      </c>
      <c r="I312" s="7">
        <v>5302.26</v>
      </c>
      <c r="J312" s="18" t="b">
        <f>IF(tblFactFinance[[#This Row],[MonthStart]] &lt;= Inputs!$B$1, TRUE, FALSE)</f>
        <v>1</v>
      </c>
    </row>
    <row r="313" spans="1:10" x14ac:dyDescent="0.3">
      <c r="A313" s="15">
        <v>45748</v>
      </c>
      <c r="B313" s="17" t="s">
        <v>57</v>
      </c>
      <c r="C313" s="3" t="s">
        <v>5</v>
      </c>
      <c r="D313" s="3" t="str">
        <f>VLOOKUP(C313, Ref_Department!$A$2:$D$6, 2, FALSE)</f>
        <v>Human Resources</v>
      </c>
      <c r="E313" s="3" t="s">
        <v>8</v>
      </c>
      <c r="F313" s="3" t="str">
        <f>VLOOKUP(E313, Ref_GLAccount!$A$2:$D$9, 2, FALSE)</f>
        <v>IT Software &amp; Subscriptions</v>
      </c>
      <c r="G313" s="3" t="str">
        <f>VLOOKUP(E313, Ref_GLAccount!$A$2:$D$9, 3, FALSE)</f>
        <v>IT</v>
      </c>
      <c r="H313" s="6" t="s">
        <v>70</v>
      </c>
      <c r="I313" s="7">
        <v>5200</v>
      </c>
      <c r="J313" s="18" t="b">
        <f>IF(tblFactFinance[[#This Row],[MonthStart]] &lt;= Inputs!$B$1, TRUE, FALSE)</f>
        <v>1</v>
      </c>
    </row>
    <row r="314" spans="1:10" x14ac:dyDescent="0.3">
      <c r="A314" s="15">
        <v>45748</v>
      </c>
      <c r="B314" s="17" t="s">
        <v>57</v>
      </c>
      <c r="C314" s="3" t="s">
        <v>5</v>
      </c>
      <c r="D314" s="3" t="str">
        <f>VLOOKUP(C314, Ref_Department!$A$2:$D$6, 2, FALSE)</f>
        <v>Human Resources</v>
      </c>
      <c r="E314" s="3" t="s">
        <v>9</v>
      </c>
      <c r="F314" s="3" t="str">
        <f>VLOOKUP(E314, Ref_GLAccount!$A$2:$D$9, 2, FALSE)</f>
        <v>Marketing &amp; Advertising</v>
      </c>
      <c r="G314" s="3" t="str">
        <f>VLOOKUP(E314, Ref_GLAccount!$A$2:$D$9, 3, FALSE)</f>
        <v>Marketing</v>
      </c>
      <c r="H314" s="6" t="s">
        <v>66</v>
      </c>
      <c r="I314" s="7">
        <v>1213.04</v>
      </c>
      <c r="J314" s="18" t="b">
        <f>IF(tblFactFinance[[#This Row],[MonthStart]] &lt;= Inputs!$B$1, TRUE, FALSE)</f>
        <v>1</v>
      </c>
    </row>
    <row r="315" spans="1:10" x14ac:dyDescent="0.3">
      <c r="A315" s="15">
        <v>45748</v>
      </c>
      <c r="B315" s="17" t="s">
        <v>57</v>
      </c>
      <c r="C315" s="3" t="s">
        <v>5</v>
      </c>
      <c r="D315" s="3" t="str">
        <f>VLOOKUP(C315, Ref_Department!$A$2:$D$6, 2, FALSE)</f>
        <v>Human Resources</v>
      </c>
      <c r="E315" s="3" t="s">
        <v>9</v>
      </c>
      <c r="F315" s="3" t="str">
        <f>VLOOKUP(E315, Ref_GLAccount!$A$2:$D$9, 2, FALSE)</f>
        <v>Marketing &amp; Advertising</v>
      </c>
      <c r="G315" s="3" t="str">
        <f>VLOOKUP(E315, Ref_GLAccount!$A$2:$D$9, 3, FALSE)</f>
        <v>Marketing</v>
      </c>
      <c r="H315" s="6" t="s">
        <v>70</v>
      </c>
      <c r="I315" s="7">
        <v>1248</v>
      </c>
      <c r="J315" s="18" t="b">
        <f>IF(tblFactFinance[[#This Row],[MonthStart]] &lt;= Inputs!$B$1, TRUE, FALSE)</f>
        <v>1</v>
      </c>
    </row>
    <row r="316" spans="1:10" x14ac:dyDescent="0.3">
      <c r="A316" s="15">
        <v>45748</v>
      </c>
      <c r="B316" s="17" t="s">
        <v>57</v>
      </c>
      <c r="C316" s="3" t="s">
        <v>5</v>
      </c>
      <c r="D316" s="3" t="str">
        <f>VLOOKUP(C316, Ref_Department!$A$2:$D$6, 2, FALSE)</f>
        <v>Human Resources</v>
      </c>
      <c r="E316" s="3" t="s">
        <v>10</v>
      </c>
      <c r="F316" s="3" t="str">
        <f>VLOOKUP(E316, Ref_GLAccount!$A$2:$D$9, 2, FALSE)</f>
        <v>Professional Services</v>
      </c>
      <c r="G316" s="3" t="str">
        <f>VLOOKUP(E316, Ref_GLAccount!$A$2:$D$9, 3, FALSE)</f>
        <v>Professional Services</v>
      </c>
      <c r="H316" s="6" t="s">
        <v>66</v>
      </c>
      <c r="I316" s="7">
        <v>3805.02</v>
      </c>
      <c r="J316" s="18" t="b">
        <f>IF(tblFactFinance[[#This Row],[MonthStart]] &lt;= Inputs!$B$1, TRUE, FALSE)</f>
        <v>1</v>
      </c>
    </row>
    <row r="317" spans="1:10" x14ac:dyDescent="0.3">
      <c r="A317" s="15">
        <v>45748</v>
      </c>
      <c r="B317" s="17" t="s">
        <v>57</v>
      </c>
      <c r="C317" s="3" t="s">
        <v>5</v>
      </c>
      <c r="D317" s="3" t="str">
        <f>VLOOKUP(C317, Ref_Department!$A$2:$D$6, 2, FALSE)</f>
        <v>Human Resources</v>
      </c>
      <c r="E317" s="3" t="s">
        <v>10</v>
      </c>
      <c r="F317" s="3" t="str">
        <f>VLOOKUP(E317, Ref_GLAccount!$A$2:$D$9, 2, FALSE)</f>
        <v>Professional Services</v>
      </c>
      <c r="G317" s="3" t="str">
        <f>VLOOKUP(E317, Ref_GLAccount!$A$2:$D$9, 3, FALSE)</f>
        <v>Professional Services</v>
      </c>
      <c r="H317" s="6" t="s">
        <v>70</v>
      </c>
      <c r="I317" s="7">
        <v>3640</v>
      </c>
      <c r="J317" s="18" t="b">
        <f>IF(tblFactFinance[[#This Row],[MonthStart]] &lt;= Inputs!$B$1, TRUE, FALSE)</f>
        <v>1</v>
      </c>
    </row>
    <row r="318" spans="1:10" x14ac:dyDescent="0.3">
      <c r="A318" s="15">
        <v>45748</v>
      </c>
      <c r="B318" s="17" t="s">
        <v>57</v>
      </c>
      <c r="C318" s="3" t="s">
        <v>5</v>
      </c>
      <c r="D318" s="3" t="str">
        <f>VLOOKUP(C318, Ref_Department!$A$2:$D$6, 2, FALSE)</f>
        <v>Human Resources</v>
      </c>
      <c r="E318" s="3" t="s">
        <v>11</v>
      </c>
      <c r="F318" s="3" t="str">
        <f>VLOOKUP(E318, Ref_GLAccount!$A$2:$D$9, 2, FALSE)</f>
        <v>Office Supplies</v>
      </c>
      <c r="G318" s="3" t="str">
        <f>VLOOKUP(E318, Ref_GLAccount!$A$2:$D$9, 3, FALSE)</f>
        <v>Other OPEX</v>
      </c>
      <c r="H318" s="6" t="s">
        <v>66</v>
      </c>
      <c r="I318" s="7">
        <v>626.19000000000005</v>
      </c>
      <c r="J318" s="18" t="b">
        <f>IF(tblFactFinance[[#This Row],[MonthStart]] &lt;= Inputs!$B$1, TRUE, FALSE)</f>
        <v>1</v>
      </c>
    </row>
    <row r="319" spans="1:10" x14ac:dyDescent="0.3">
      <c r="A319" s="15">
        <v>45748</v>
      </c>
      <c r="B319" s="17" t="s">
        <v>57</v>
      </c>
      <c r="C319" s="3" t="s">
        <v>5</v>
      </c>
      <c r="D319" s="3" t="str">
        <f>VLOOKUP(C319, Ref_Department!$A$2:$D$6, 2, FALSE)</f>
        <v>Human Resources</v>
      </c>
      <c r="E319" s="3" t="s">
        <v>11</v>
      </c>
      <c r="F319" s="3" t="str">
        <f>VLOOKUP(E319, Ref_GLAccount!$A$2:$D$9, 2, FALSE)</f>
        <v>Office Supplies</v>
      </c>
      <c r="G319" s="3" t="str">
        <f>VLOOKUP(E319, Ref_GLAccount!$A$2:$D$9, 3, FALSE)</f>
        <v>Other OPEX</v>
      </c>
      <c r="H319" s="6" t="s">
        <v>70</v>
      </c>
      <c r="I319" s="7">
        <v>624</v>
      </c>
      <c r="J319" s="18" t="b">
        <f>IF(tblFactFinance[[#This Row],[MonthStart]] &lt;= Inputs!$B$1, TRUE, FALSE)</f>
        <v>1</v>
      </c>
    </row>
    <row r="320" spans="1:10" x14ac:dyDescent="0.3">
      <c r="A320" s="15">
        <v>45748</v>
      </c>
      <c r="B320" s="17" t="s">
        <v>57</v>
      </c>
      <c r="C320" s="3" t="s">
        <v>5</v>
      </c>
      <c r="D320" s="3" t="str">
        <f>VLOOKUP(C320, Ref_Department!$A$2:$D$6, 2, FALSE)</f>
        <v>Human Resources</v>
      </c>
      <c r="E320" s="3" t="s">
        <v>12</v>
      </c>
      <c r="F320" s="3" t="str">
        <f>VLOOKUP(E320, Ref_GLAccount!$A$2:$D$9, 2, FALSE)</f>
        <v>Training &amp; Development</v>
      </c>
      <c r="G320" s="3" t="str">
        <f>VLOOKUP(E320, Ref_GLAccount!$A$2:$D$9, 3, FALSE)</f>
        <v>Other OPEX</v>
      </c>
      <c r="H320" s="6" t="s">
        <v>66</v>
      </c>
      <c r="I320" s="7">
        <v>1710.58</v>
      </c>
      <c r="J320" s="18" t="b">
        <f>IF(tblFactFinance[[#This Row],[MonthStart]] &lt;= Inputs!$B$1, TRUE, FALSE)</f>
        <v>1</v>
      </c>
    </row>
    <row r="321" spans="1:10" x14ac:dyDescent="0.3">
      <c r="A321" s="15">
        <v>45748</v>
      </c>
      <c r="B321" s="17" t="s">
        <v>57</v>
      </c>
      <c r="C321" s="3" t="s">
        <v>5</v>
      </c>
      <c r="D321" s="3" t="str">
        <f>VLOOKUP(C321, Ref_Department!$A$2:$D$6, 2, FALSE)</f>
        <v>Human Resources</v>
      </c>
      <c r="E321" s="3" t="s">
        <v>12</v>
      </c>
      <c r="F321" s="3" t="str">
        <f>VLOOKUP(E321, Ref_GLAccount!$A$2:$D$9, 2, FALSE)</f>
        <v>Training &amp; Development</v>
      </c>
      <c r="G321" s="3" t="str">
        <f>VLOOKUP(E321, Ref_GLAccount!$A$2:$D$9, 3, FALSE)</f>
        <v>Other OPEX</v>
      </c>
      <c r="H321" s="6" t="s">
        <v>70</v>
      </c>
      <c r="I321" s="7">
        <v>1664</v>
      </c>
      <c r="J321" s="18" t="b">
        <f>IF(tblFactFinance[[#This Row],[MonthStart]] &lt;= Inputs!$B$1, TRUE, FALSE)</f>
        <v>1</v>
      </c>
    </row>
    <row r="322" spans="1:10" x14ac:dyDescent="0.3">
      <c r="A322" s="15">
        <v>45778</v>
      </c>
      <c r="B322" s="17" t="s">
        <v>58</v>
      </c>
      <c r="C322" s="3" t="s">
        <v>1</v>
      </c>
      <c r="D322" s="3" t="str">
        <f>VLOOKUP(C322, Ref_Department!$A$2:$D$6, 2, FALSE)</f>
        <v>Branch Operations</v>
      </c>
      <c r="E322" s="3" t="s">
        <v>33</v>
      </c>
      <c r="F322" s="3" t="str">
        <f>VLOOKUP(E322, Ref_GLAccount!$A$2:$D$9, 2, FALSE)</f>
        <v>Salaries</v>
      </c>
      <c r="G322" s="3" t="str">
        <f>VLOOKUP(E322, Ref_GLAccount!$A$2:$D$9, 3, FALSE)</f>
        <v>Personnel</v>
      </c>
      <c r="H322" s="6" t="s">
        <v>66</v>
      </c>
      <c r="I322" s="7">
        <v>211085.9</v>
      </c>
      <c r="J322" s="18" t="b">
        <f>IF(tblFactFinance[[#This Row],[MonthStart]] &lt;= Inputs!$B$1, TRUE, FALSE)</f>
        <v>1</v>
      </c>
    </row>
    <row r="323" spans="1:10" x14ac:dyDescent="0.3">
      <c r="A323" s="15">
        <v>45778</v>
      </c>
      <c r="B323" s="17" t="s">
        <v>58</v>
      </c>
      <c r="C323" s="3" t="s">
        <v>1</v>
      </c>
      <c r="D323" s="3" t="str">
        <f>VLOOKUP(C323, Ref_Department!$A$2:$D$6, 2, FALSE)</f>
        <v>Branch Operations</v>
      </c>
      <c r="E323" s="3" t="s">
        <v>33</v>
      </c>
      <c r="F323" s="3" t="str">
        <f>VLOOKUP(E323, Ref_GLAccount!$A$2:$D$9, 2, FALSE)</f>
        <v>Salaries</v>
      </c>
      <c r="G323" s="3" t="str">
        <f>VLOOKUP(E323, Ref_GLAccount!$A$2:$D$9, 3, FALSE)</f>
        <v>Personnel</v>
      </c>
      <c r="H323" s="6" t="s">
        <v>70</v>
      </c>
      <c r="I323" s="7">
        <v>200850</v>
      </c>
      <c r="J323" s="18" t="b">
        <f>IF(tblFactFinance[[#This Row],[MonthStart]] &lt;= Inputs!$B$1, TRUE, FALSE)</f>
        <v>1</v>
      </c>
    </row>
    <row r="324" spans="1:10" x14ac:dyDescent="0.3">
      <c r="A324" s="15">
        <v>45778</v>
      </c>
      <c r="B324" s="17" t="s">
        <v>58</v>
      </c>
      <c r="C324" s="3" t="s">
        <v>1</v>
      </c>
      <c r="D324" s="3" t="str">
        <f>VLOOKUP(C324, Ref_Department!$A$2:$D$6, 2, FALSE)</f>
        <v>Branch Operations</v>
      </c>
      <c r="E324" s="3" t="s">
        <v>37</v>
      </c>
      <c r="F324" s="3" t="str">
        <f>VLOOKUP(E324, Ref_GLAccount!$A$2:$D$9, 2, FALSE)</f>
        <v>Benefits</v>
      </c>
      <c r="G324" s="3" t="str">
        <f>VLOOKUP(E324, Ref_GLAccount!$A$2:$D$9, 3, FALSE)</f>
        <v>Personnel</v>
      </c>
      <c r="H324" s="6" t="s">
        <v>66</v>
      </c>
      <c r="I324" s="7">
        <v>45263.88</v>
      </c>
      <c r="J324" s="18" t="b">
        <f>IF(tblFactFinance[[#This Row],[MonthStart]] &lt;= Inputs!$B$1, TRUE, FALSE)</f>
        <v>1</v>
      </c>
    </row>
    <row r="325" spans="1:10" x14ac:dyDescent="0.3">
      <c r="A325" s="15">
        <v>45778</v>
      </c>
      <c r="B325" s="17" t="s">
        <v>58</v>
      </c>
      <c r="C325" s="3" t="s">
        <v>1</v>
      </c>
      <c r="D325" s="3" t="str">
        <f>VLOOKUP(C325, Ref_Department!$A$2:$D$6, 2, FALSE)</f>
        <v>Branch Operations</v>
      </c>
      <c r="E325" s="3" t="s">
        <v>37</v>
      </c>
      <c r="F325" s="3" t="str">
        <f>VLOOKUP(E325, Ref_GLAccount!$A$2:$D$9, 2, FALSE)</f>
        <v>Benefits</v>
      </c>
      <c r="G325" s="3" t="str">
        <f>VLOOKUP(E325, Ref_GLAccount!$A$2:$D$9, 3, FALSE)</f>
        <v>Personnel</v>
      </c>
      <c r="H325" s="6" t="s">
        <v>70</v>
      </c>
      <c r="I325" s="7">
        <v>44187</v>
      </c>
      <c r="J325" s="18" t="b">
        <f>IF(tblFactFinance[[#This Row],[MonthStart]] &lt;= Inputs!$B$1, TRUE, FALSE)</f>
        <v>1</v>
      </c>
    </row>
    <row r="326" spans="1:10" x14ac:dyDescent="0.3">
      <c r="A326" s="15">
        <v>45778</v>
      </c>
      <c r="B326" s="17" t="s">
        <v>58</v>
      </c>
      <c r="C326" s="3" t="s">
        <v>1</v>
      </c>
      <c r="D326" s="3" t="str">
        <f>VLOOKUP(C326, Ref_Department!$A$2:$D$6, 2, FALSE)</f>
        <v>Branch Operations</v>
      </c>
      <c r="E326" s="3" t="s">
        <v>7</v>
      </c>
      <c r="F326" s="3" t="str">
        <f>VLOOKUP(E326, Ref_GLAccount!$A$2:$D$9, 2, FALSE)</f>
        <v>Occupancy &amp; Facilities</v>
      </c>
      <c r="G326" s="3" t="str">
        <f>VLOOKUP(E326, Ref_GLAccount!$A$2:$D$9, 3, FALSE)</f>
        <v>Facilities</v>
      </c>
      <c r="H326" s="6" t="s">
        <v>66</v>
      </c>
      <c r="I326" s="7">
        <v>38435.5</v>
      </c>
      <c r="J326" s="18" t="b">
        <f>IF(tblFactFinance[[#This Row],[MonthStart]] &lt;= Inputs!$B$1, TRUE, FALSE)</f>
        <v>1</v>
      </c>
    </row>
    <row r="327" spans="1:10" x14ac:dyDescent="0.3">
      <c r="A327" s="15">
        <v>45778</v>
      </c>
      <c r="B327" s="17" t="s">
        <v>58</v>
      </c>
      <c r="C327" s="3" t="s">
        <v>1</v>
      </c>
      <c r="D327" s="3" t="str">
        <f>VLOOKUP(C327, Ref_Department!$A$2:$D$6, 2, FALSE)</f>
        <v>Branch Operations</v>
      </c>
      <c r="E327" s="3" t="s">
        <v>7</v>
      </c>
      <c r="F327" s="3" t="str">
        <f>VLOOKUP(E327, Ref_GLAccount!$A$2:$D$9, 2, FALSE)</f>
        <v>Occupancy &amp; Facilities</v>
      </c>
      <c r="G327" s="3" t="str">
        <f>VLOOKUP(E327, Ref_GLAccount!$A$2:$D$9, 3, FALSE)</f>
        <v>Facilities</v>
      </c>
      <c r="H327" s="6" t="s">
        <v>70</v>
      </c>
      <c r="I327" s="7">
        <v>38000</v>
      </c>
      <c r="J327" s="18" t="b">
        <f>IF(tblFactFinance[[#This Row],[MonthStart]] &lt;= Inputs!$B$1, TRUE, FALSE)</f>
        <v>1</v>
      </c>
    </row>
    <row r="328" spans="1:10" x14ac:dyDescent="0.3">
      <c r="A328" s="15">
        <v>45778</v>
      </c>
      <c r="B328" s="17" t="s">
        <v>58</v>
      </c>
      <c r="C328" s="3" t="s">
        <v>1</v>
      </c>
      <c r="D328" s="3" t="str">
        <f>VLOOKUP(C328, Ref_Department!$A$2:$D$6, 2, FALSE)</f>
        <v>Branch Operations</v>
      </c>
      <c r="E328" s="3" t="s">
        <v>8</v>
      </c>
      <c r="F328" s="3" t="str">
        <f>VLOOKUP(E328, Ref_GLAccount!$A$2:$D$9, 2, FALSE)</f>
        <v>IT Software &amp; Subscriptions</v>
      </c>
      <c r="G328" s="3" t="str">
        <f>VLOOKUP(E328, Ref_GLAccount!$A$2:$D$9, 3, FALSE)</f>
        <v>IT</v>
      </c>
      <c r="H328" s="6" t="s">
        <v>66</v>
      </c>
      <c r="I328" s="7">
        <v>13554.68</v>
      </c>
      <c r="J328" s="18" t="b">
        <f>IF(tblFactFinance[[#This Row],[MonthStart]] &lt;= Inputs!$B$1, TRUE, FALSE)</f>
        <v>1</v>
      </c>
    </row>
    <row r="329" spans="1:10" x14ac:dyDescent="0.3">
      <c r="A329" s="15">
        <v>45778</v>
      </c>
      <c r="B329" s="17" t="s">
        <v>58</v>
      </c>
      <c r="C329" s="3" t="s">
        <v>1</v>
      </c>
      <c r="D329" s="3" t="str">
        <f>VLOOKUP(C329, Ref_Department!$A$2:$D$6, 2, FALSE)</f>
        <v>Branch Operations</v>
      </c>
      <c r="E329" s="3" t="s">
        <v>8</v>
      </c>
      <c r="F329" s="3" t="str">
        <f>VLOOKUP(E329, Ref_GLAccount!$A$2:$D$9, 2, FALSE)</f>
        <v>IT Software &amp; Subscriptions</v>
      </c>
      <c r="G329" s="3" t="str">
        <f>VLOOKUP(E329, Ref_GLAccount!$A$2:$D$9, 3, FALSE)</f>
        <v>IT</v>
      </c>
      <c r="H329" s="6" t="s">
        <v>70</v>
      </c>
      <c r="I329" s="7">
        <v>12480</v>
      </c>
      <c r="J329" s="18" t="b">
        <f>IF(tblFactFinance[[#This Row],[MonthStart]] &lt;= Inputs!$B$1, TRUE, FALSE)</f>
        <v>1</v>
      </c>
    </row>
    <row r="330" spans="1:10" x14ac:dyDescent="0.3">
      <c r="A330" s="15">
        <v>45778</v>
      </c>
      <c r="B330" s="17" t="s">
        <v>58</v>
      </c>
      <c r="C330" s="3" t="s">
        <v>1</v>
      </c>
      <c r="D330" s="3" t="str">
        <f>VLOOKUP(C330, Ref_Department!$A$2:$D$6, 2, FALSE)</f>
        <v>Branch Operations</v>
      </c>
      <c r="E330" s="3" t="s">
        <v>9</v>
      </c>
      <c r="F330" s="3" t="str">
        <f>VLOOKUP(E330, Ref_GLAccount!$A$2:$D$9, 2, FALSE)</f>
        <v>Marketing &amp; Advertising</v>
      </c>
      <c r="G330" s="3" t="str">
        <f>VLOOKUP(E330, Ref_GLAccount!$A$2:$D$9, 3, FALSE)</f>
        <v>Marketing</v>
      </c>
      <c r="H330" s="6" t="s">
        <v>66</v>
      </c>
      <c r="I330" s="7">
        <v>4200.55</v>
      </c>
      <c r="J330" s="18" t="b">
        <f>IF(tblFactFinance[[#This Row],[MonthStart]] &lt;= Inputs!$B$1, TRUE, FALSE)</f>
        <v>1</v>
      </c>
    </row>
    <row r="331" spans="1:10" x14ac:dyDescent="0.3">
      <c r="A331" s="15">
        <v>45778</v>
      </c>
      <c r="B331" s="17" t="s">
        <v>58</v>
      </c>
      <c r="C331" s="3" t="s">
        <v>1</v>
      </c>
      <c r="D331" s="3" t="str">
        <f>VLOOKUP(C331, Ref_Department!$A$2:$D$6, 2, FALSE)</f>
        <v>Branch Operations</v>
      </c>
      <c r="E331" s="3" t="s">
        <v>9</v>
      </c>
      <c r="F331" s="3" t="str">
        <f>VLOOKUP(E331, Ref_GLAccount!$A$2:$D$9, 2, FALSE)</f>
        <v>Marketing &amp; Advertising</v>
      </c>
      <c r="G331" s="3" t="str">
        <f>VLOOKUP(E331, Ref_GLAccount!$A$2:$D$9, 3, FALSE)</f>
        <v>Marketing</v>
      </c>
      <c r="H331" s="6" t="s">
        <v>70</v>
      </c>
      <c r="I331" s="7">
        <v>4160</v>
      </c>
      <c r="J331" s="18" t="b">
        <f>IF(tblFactFinance[[#This Row],[MonthStart]] &lt;= Inputs!$B$1, TRUE, FALSE)</f>
        <v>1</v>
      </c>
    </row>
    <row r="332" spans="1:10" x14ac:dyDescent="0.3">
      <c r="A332" s="15">
        <v>45778</v>
      </c>
      <c r="B332" s="17" t="s">
        <v>58</v>
      </c>
      <c r="C332" s="3" t="s">
        <v>1</v>
      </c>
      <c r="D332" s="3" t="str">
        <f>VLOOKUP(C332, Ref_Department!$A$2:$D$6, 2, FALSE)</f>
        <v>Branch Operations</v>
      </c>
      <c r="E332" s="3" t="s">
        <v>10</v>
      </c>
      <c r="F332" s="3" t="str">
        <f>VLOOKUP(E332, Ref_GLAccount!$A$2:$D$9, 2, FALSE)</f>
        <v>Professional Services</v>
      </c>
      <c r="G332" s="3" t="str">
        <f>VLOOKUP(E332, Ref_GLAccount!$A$2:$D$9, 3, FALSE)</f>
        <v>Professional Services</v>
      </c>
      <c r="H332" s="6" t="s">
        <v>66</v>
      </c>
      <c r="I332" s="7">
        <v>5138.4399999999996</v>
      </c>
      <c r="J332" s="18" t="b">
        <f>IF(tblFactFinance[[#This Row],[MonthStart]] &lt;= Inputs!$B$1, TRUE, FALSE)</f>
        <v>1</v>
      </c>
    </row>
    <row r="333" spans="1:10" x14ac:dyDescent="0.3">
      <c r="A333" s="15">
        <v>45778</v>
      </c>
      <c r="B333" s="17" t="s">
        <v>58</v>
      </c>
      <c r="C333" s="3" t="s">
        <v>1</v>
      </c>
      <c r="D333" s="3" t="str">
        <f>VLOOKUP(C333, Ref_Department!$A$2:$D$6, 2, FALSE)</f>
        <v>Branch Operations</v>
      </c>
      <c r="E333" s="3" t="s">
        <v>10</v>
      </c>
      <c r="F333" s="3" t="str">
        <f>VLOOKUP(E333, Ref_GLAccount!$A$2:$D$9, 2, FALSE)</f>
        <v>Professional Services</v>
      </c>
      <c r="G333" s="3" t="str">
        <f>VLOOKUP(E333, Ref_GLAccount!$A$2:$D$9, 3, FALSE)</f>
        <v>Professional Services</v>
      </c>
      <c r="H333" s="6" t="s">
        <v>70</v>
      </c>
      <c r="I333" s="7">
        <v>5200</v>
      </c>
      <c r="J333" s="18" t="b">
        <f>IF(tblFactFinance[[#This Row],[MonthStart]] &lt;= Inputs!$B$1, TRUE, FALSE)</f>
        <v>1</v>
      </c>
    </row>
    <row r="334" spans="1:10" x14ac:dyDescent="0.3">
      <c r="A334" s="15">
        <v>45778</v>
      </c>
      <c r="B334" s="17" t="s">
        <v>58</v>
      </c>
      <c r="C334" s="3" t="s">
        <v>1</v>
      </c>
      <c r="D334" s="3" t="str">
        <f>VLOOKUP(C334, Ref_Department!$A$2:$D$6, 2, FALSE)</f>
        <v>Branch Operations</v>
      </c>
      <c r="E334" s="3" t="s">
        <v>11</v>
      </c>
      <c r="F334" s="3" t="str">
        <f>VLOOKUP(E334, Ref_GLAccount!$A$2:$D$9, 2, FALSE)</f>
        <v>Office Supplies</v>
      </c>
      <c r="G334" s="3" t="str">
        <f>VLOOKUP(E334, Ref_GLAccount!$A$2:$D$9, 3, FALSE)</f>
        <v>Other OPEX</v>
      </c>
      <c r="H334" s="6" t="s">
        <v>66</v>
      </c>
      <c r="I334" s="7">
        <v>1566.99</v>
      </c>
      <c r="J334" s="18" t="b">
        <f>IF(tblFactFinance[[#This Row],[MonthStart]] &lt;= Inputs!$B$1, TRUE, FALSE)</f>
        <v>1</v>
      </c>
    </row>
    <row r="335" spans="1:10" x14ac:dyDescent="0.3">
      <c r="A335" s="15">
        <v>45778</v>
      </c>
      <c r="B335" s="17" t="s">
        <v>58</v>
      </c>
      <c r="C335" s="3" t="s">
        <v>1</v>
      </c>
      <c r="D335" s="3" t="str">
        <f>VLOOKUP(C335, Ref_Department!$A$2:$D$6, 2, FALSE)</f>
        <v>Branch Operations</v>
      </c>
      <c r="E335" s="3" t="s">
        <v>11</v>
      </c>
      <c r="F335" s="3" t="str">
        <f>VLOOKUP(E335, Ref_GLAccount!$A$2:$D$9, 2, FALSE)</f>
        <v>Office Supplies</v>
      </c>
      <c r="G335" s="3" t="str">
        <f>VLOOKUP(E335, Ref_GLAccount!$A$2:$D$9, 3, FALSE)</f>
        <v>Other OPEX</v>
      </c>
      <c r="H335" s="6" t="s">
        <v>70</v>
      </c>
      <c r="I335" s="7">
        <v>1560</v>
      </c>
      <c r="J335" s="18" t="b">
        <f>IF(tblFactFinance[[#This Row],[MonthStart]] &lt;= Inputs!$B$1, TRUE, FALSE)</f>
        <v>1</v>
      </c>
    </row>
    <row r="336" spans="1:10" x14ac:dyDescent="0.3">
      <c r="A336" s="15">
        <v>45778</v>
      </c>
      <c r="B336" s="17" t="s">
        <v>58</v>
      </c>
      <c r="C336" s="3" t="s">
        <v>1</v>
      </c>
      <c r="D336" s="3" t="str">
        <f>VLOOKUP(C336, Ref_Department!$A$2:$D$6, 2, FALSE)</f>
        <v>Branch Operations</v>
      </c>
      <c r="E336" s="3" t="s">
        <v>12</v>
      </c>
      <c r="F336" s="3" t="str">
        <f>VLOOKUP(E336, Ref_GLAccount!$A$2:$D$9, 2, FALSE)</f>
        <v>Training &amp; Development</v>
      </c>
      <c r="G336" s="3" t="str">
        <f>VLOOKUP(E336, Ref_GLAccount!$A$2:$D$9, 3, FALSE)</f>
        <v>Other OPEX</v>
      </c>
      <c r="H336" s="6" t="s">
        <v>66</v>
      </c>
      <c r="I336" s="7">
        <v>1322.02</v>
      </c>
      <c r="J336" s="18" t="b">
        <f>IF(tblFactFinance[[#This Row],[MonthStart]] &lt;= Inputs!$B$1, TRUE, FALSE)</f>
        <v>1</v>
      </c>
    </row>
    <row r="337" spans="1:10" x14ac:dyDescent="0.3">
      <c r="A337" s="15">
        <v>45778</v>
      </c>
      <c r="B337" s="17" t="s">
        <v>58</v>
      </c>
      <c r="C337" s="3" t="s">
        <v>1</v>
      </c>
      <c r="D337" s="3" t="str">
        <f>VLOOKUP(C337, Ref_Department!$A$2:$D$6, 2, FALSE)</f>
        <v>Branch Operations</v>
      </c>
      <c r="E337" s="3" t="s">
        <v>12</v>
      </c>
      <c r="F337" s="3" t="str">
        <f>VLOOKUP(E337, Ref_GLAccount!$A$2:$D$9, 2, FALSE)</f>
        <v>Training &amp; Development</v>
      </c>
      <c r="G337" s="3" t="str">
        <f>VLOOKUP(E337, Ref_GLAccount!$A$2:$D$9, 3, FALSE)</f>
        <v>Other OPEX</v>
      </c>
      <c r="H337" s="6" t="s">
        <v>70</v>
      </c>
      <c r="I337" s="7">
        <v>1248</v>
      </c>
      <c r="J337" s="18" t="b">
        <f>IF(tblFactFinance[[#This Row],[MonthStart]] &lt;= Inputs!$B$1, TRUE, FALSE)</f>
        <v>1</v>
      </c>
    </row>
    <row r="338" spans="1:10" x14ac:dyDescent="0.3">
      <c r="A338" s="15">
        <v>45778</v>
      </c>
      <c r="B338" s="17" t="s">
        <v>58</v>
      </c>
      <c r="C338" s="3" t="s">
        <v>2</v>
      </c>
      <c r="D338" s="3" t="str">
        <f>VLOOKUP(C338, Ref_Department!$A$2:$D$6, 2, FALSE)</f>
        <v>Lending</v>
      </c>
      <c r="E338" s="3" t="s">
        <v>33</v>
      </c>
      <c r="F338" s="3" t="str">
        <f>VLOOKUP(E338, Ref_GLAccount!$A$2:$D$9, 2, FALSE)</f>
        <v>Salaries</v>
      </c>
      <c r="G338" s="3" t="str">
        <f>VLOOKUP(E338, Ref_GLAccount!$A$2:$D$9, 3, FALSE)</f>
        <v>Personnel</v>
      </c>
      <c r="H338" s="6" t="s">
        <v>66</v>
      </c>
      <c r="I338" s="7">
        <v>173861.68</v>
      </c>
      <c r="J338" s="18" t="b">
        <f>IF(tblFactFinance[[#This Row],[MonthStart]] &lt;= Inputs!$B$1, TRUE, FALSE)</f>
        <v>1</v>
      </c>
    </row>
    <row r="339" spans="1:10" x14ac:dyDescent="0.3">
      <c r="A339" s="15">
        <v>45778</v>
      </c>
      <c r="B339" s="17" t="s">
        <v>58</v>
      </c>
      <c r="C339" s="3" t="s">
        <v>2</v>
      </c>
      <c r="D339" s="3" t="str">
        <f>VLOOKUP(C339, Ref_Department!$A$2:$D$6, 2, FALSE)</f>
        <v>Lending</v>
      </c>
      <c r="E339" s="3" t="s">
        <v>33</v>
      </c>
      <c r="F339" s="3" t="str">
        <f>VLOOKUP(E339, Ref_GLAccount!$A$2:$D$9, 2, FALSE)</f>
        <v>Salaries</v>
      </c>
      <c r="G339" s="3" t="str">
        <f>VLOOKUP(E339, Ref_GLAccount!$A$2:$D$9, 3, FALSE)</f>
        <v>Personnel</v>
      </c>
      <c r="H339" s="6" t="s">
        <v>70</v>
      </c>
      <c r="I339" s="7">
        <v>173040</v>
      </c>
      <c r="J339" s="18" t="b">
        <f>IF(tblFactFinance[[#This Row],[MonthStart]] &lt;= Inputs!$B$1, TRUE, FALSE)</f>
        <v>1</v>
      </c>
    </row>
    <row r="340" spans="1:10" x14ac:dyDescent="0.3">
      <c r="A340" s="15">
        <v>45778</v>
      </c>
      <c r="B340" s="17" t="s">
        <v>58</v>
      </c>
      <c r="C340" s="3" t="s">
        <v>2</v>
      </c>
      <c r="D340" s="3" t="str">
        <f>VLOOKUP(C340, Ref_Department!$A$2:$D$6, 2, FALSE)</f>
        <v>Lending</v>
      </c>
      <c r="E340" s="3" t="s">
        <v>37</v>
      </c>
      <c r="F340" s="3" t="str">
        <f>VLOOKUP(E340, Ref_GLAccount!$A$2:$D$9, 2, FALSE)</f>
        <v>Benefits</v>
      </c>
      <c r="G340" s="3" t="str">
        <f>VLOOKUP(E340, Ref_GLAccount!$A$2:$D$9, 3, FALSE)</f>
        <v>Personnel</v>
      </c>
      <c r="H340" s="6" t="s">
        <v>66</v>
      </c>
      <c r="I340" s="7">
        <v>38859.68</v>
      </c>
      <c r="J340" s="18" t="b">
        <f>IF(tblFactFinance[[#This Row],[MonthStart]] &lt;= Inputs!$B$1, TRUE, FALSE)</f>
        <v>1</v>
      </c>
    </row>
    <row r="341" spans="1:10" x14ac:dyDescent="0.3">
      <c r="A341" s="15">
        <v>45778</v>
      </c>
      <c r="B341" s="17" t="s">
        <v>58</v>
      </c>
      <c r="C341" s="3" t="s">
        <v>2</v>
      </c>
      <c r="D341" s="3" t="str">
        <f>VLOOKUP(C341, Ref_Department!$A$2:$D$6, 2, FALSE)</f>
        <v>Lending</v>
      </c>
      <c r="E341" s="3" t="s">
        <v>37</v>
      </c>
      <c r="F341" s="3" t="str">
        <f>VLOOKUP(E341, Ref_GLAccount!$A$2:$D$9, 2, FALSE)</f>
        <v>Benefits</v>
      </c>
      <c r="G341" s="3" t="str">
        <f>VLOOKUP(E341, Ref_GLAccount!$A$2:$D$9, 3, FALSE)</f>
        <v>Personnel</v>
      </c>
      <c r="H341" s="6" t="s">
        <v>70</v>
      </c>
      <c r="I341" s="7">
        <v>38068.800000000003</v>
      </c>
      <c r="J341" s="18" t="b">
        <f>IF(tblFactFinance[[#This Row],[MonthStart]] &lt;= Inputs!$B$1, TRUE, FALSE)</f>
        <v>1</v>
      </c>
    </row>
    <row r="342" spans="1:10" x14ac:dyDescent="0.3">
      <c r="A342" s="15">
        <v>45778</v>
      </c>
      <c r="B342" s="17" t="s">
        <v>58</v>
      </c>
      <c r="C342" s="3" t="s">
        <v>2</v>
      </c>
      <c r="D342" s="3" t="str">
        <f>VLOOKUP(C342, Ref_Department!$A$2:$D$6, 2, FALSE)</f>
        <v>Lending</v>
      </c>
      <c r="E342" s="3" t="s">
        <v>7</v>
      </c>
      <c r="F342" s="3" t="str">
        <f>VLOOKUP(E342, Ref_GLAccount!$A$2:$D$9, 2, FALSE)</f>
        <v>Occupancy &amp; Facilities</v>
      </c>
      <c r="G342" s="3" t="str">
        <f>VLOOKUP(E342, Ref_GLAccount!$A$2:$D$9, 3, FALSE)</f>
        <v>Facilities</v>
      </c>
      <c r="H342" s="6" t="s">
        <v>66</v>
      </c>
      <c r="I342" s="7">
        <v>16765.27</v>
      </c>
      <c r="J342" s="18" t="b">
        <f>IF(tblFactFinance[[#This Row],[MonthStart]] &lt;= Inputs!$B$1, TRUE, FALSE)</f>
        <v>1</v>
      </c>
    </row>
    <row r="343" spans="1:10" x14ac:dyDescent="0.3">
      <c r="A343" s="15">
        <v>45778</v>
      </c>
      <c r="B343" s="17" t="s">
        <v>58</v>
      </c>
      <c r="C343" s="3" t="s">
        <v>2</v>
      </c>
      <c r="D343" s="3" t="str">
        <f>VLOOKUP(C343, Ref_Department!$A$2:$D$6, 2, FALSE)</f>
        <v>Lending</v>
      </c>
      <c r="E343" s="3" t="s">
        <v>7</v>
      </c>
      <c r="F343" s="3" t="str">
        <f>VLOOKUP(E343, Ref_GLAccount!$A$2:$D$9, 2, FALSE)</f>
        <v>Occupancy &amp; Facilities</v>
      </c>
      <c r="G343" s="3" t="str">
        <f>VLOOKUP(E343, Ref_GLAccount!$A$2:$D$9, 3, FALSE)</f>
        <v>Facilities</v>
      </c>
      <c r="H343" s="6" t="s">
        <v>70</v>
      </c>
      <c r="I343" s="7">
        <v>16000</v>
      </c>
      <c r="J343" s="18" t="b">
        <f>IF(tblFactFinance[[#This Row],[MonthStart]] &lt;= Inputs!$B$1, TRUE, FALSE)</f>
        <v>1</v>
      </c>
    </row>
    <row r="344" spans="1:10" x14ac:dyDescent="0.3">
      <c r="A344" s="15">
        <v>45778</v>
      </c>
      <c r="B344" s="17" t="s">
        <v>58</v>
      </c>
      <c r="C344" s="3" t="s">
        <v>2</v>
      </c>
      <c r="D344" s="3" t="str">
        <f>VLOOKUP(C344, Ref_Department!$A$2:$D$6, 2, FALSE)</f>
        <v>Lending</v>
      </c>
      <c r="E344" s="3" t="s">
        <v>8</v>
      </c>
      <c r="F344" s="3" t="str">
        <f>VLOOKUP(E344, Ref_GLAccount!$A$2:$D$9, 2, FALSE)</f>
        <v>IT Software &amp; Subscriptions</v>
      </c>
      <c r="G344" s="3" t="str">
        <f>VLOOKUP(E344, Ref_GLAccount!$A$2:$D$9, 3, FALSE)</f>
        <v>IT</v>
      </c>
      <c r="H344" s="6" t="s">
        <v>66</v>
      </c>
      <c r="I344" s="7">
        <v>9167.99</v>
      </c>
      <c r="J344" s="18" t="b">
        <f>IF(tblFactFinance[[#This Row],[MonthStart]] &lt;= Inputs!$B$1, TRUE, FALSE)</f>
        <v>1</v>
      </c>
    </row>
    <row r="345" spans="1:10" x14ac:dyDescent="0.3">
      <c r="A345" s="15">
        <v>45778</v>
      </c>
      <c r="B345" s="17" t="s">
        <v>58</v>
      </c>
      <c r="C345" s="3" t="s">
        <v>2</v>
      </c>
      <c r="D345" s="3" t="str">
        <f>VLOOKUP(C345, Ref_Department!$A$2:$D$6, 2, FALSE)</f>
        <v>Lending</v>
      </c>
      <c r="E345" s="3" t="s">
        <v>8</v>
      </c>
      <c r="F345" s="3" t="str">
        <f>VLOOKUP(E345, Ref_GLAccount!$A$2:$D$9, 2, FALSE)</f>
        <v>IT Software &amp; Subscriptions</v>
      </c>
      <c r="G345" s="3" t="str">
        <f>VLOOKUP(E345, Ref_GLAccount!$A$2:$D$9, 3, FALSE)</f>
        <v>IT</v>
      </c>
      <c r="H345" s="6" t="s">
        <v>70</v>
      </c>
      <c r="I345" s="7">
        <v>9360</v>
      </c>
      <c r="J345" s="18" t="b">
        <f>IF(tblFactFinance[[#This Row],[MonthStart]] &lt;= Inputs!$B$1, TRUE, FALSE)</f>
        <v>1</v>
      </c>
    </row>
    <row r="346" spans="1:10" x14ac:dyDescent="0.3">
      <c r="A346" s="15">
        <v>45778</v>
      </c>
      <c r="B346" s="17" t="s">
        <v>58</v>
      </c>
      <c r="C346" s="3" t="s">
        <v>2</v>
      </c>
      <c r="D346" s="3" t="str">
        <f>VLOOKUP(C346, Ref_Department!$A$2:$D$6, 2, FALSE)</f>
        <v>Lending</v>
      </c>
      <c r="E346" s="3" t="s">
        <v>9</v>
      </c>
      <c r="F346" s="3" t="str">
        <f>VLOOKUP(E346, Ref_GLAccount!$A$2:$D$9, 2, FALSE)</f>
        <v>Marketing &amp; Advertising</v>
      </c>
      <c r="G346" s="3" t="str">
        <f>VLOOKUP(E346, Ref_GLAccount!$A$2:$D$9, 3, FALSE)</f>
        <v>Marketing</v>
      </c>
      <c r="H346" s="6" t="s">
        <v>66</v>
      </c>
      <c r="I346" s="7">
        <v>5809.05</v>
      </c>
      <c r="J346" s="18" t="b">
        <f>IF(tblFactFinance[[#This Row],[MonthStart]] &lt;= Inputs!$B$1, TRUE, FALSE)</f>
        <v>1</v>
      </c>
    </row>
    <row r="347" spans="1:10" x14ac:dyDescent="0.3">
      <c r="A347" s="15">
        <v>45778</v>
      </c>
      <c r="B347" s="17" t="s">
        <v>58</v>
      </c>
      <c r="C347" s="3" t="s">
        <v>2</v>
      </c>
      <c r="D347" s="3" t="str">
        <f>VLOOKUP(C347, Ref_Department!$A$2:$D$6, 2, FALSE)</f>
        <v>Lending</v>
      </c>
      <c r="E347" s="3" t="s">
        <v>9</v>
      </c>
      <c r="F347" s="3" t="str">
        <f>VLOOKUP(E347, Ref_GLAccount!$A$2:$D$9, 2, FALSE)</f>
        <v>Marketing &amp; Advertising</v>
      </c>
      <c r="G347" s="3" t="str">
        <f>VLOOKUP(E347, Ref_GLAccount!$A$2:$D$9, 3, FALSE)</f>
        <v>Marketing</v>
      </c>
      <c r="H347" s="6" t="s">
        <v>70</v>
      </c>
      <c r="I347" s="7">
        <v>6240</v>
      </c>
      <c r="J347" s="18" t="b">
        <f>IF(tblFactFinance[[#This Row],[MonthStart]] &lt;= Inputs!$B$1, TRUE, FALSE)</f>
        <v>1</v>
      </c>
    </row>
    <row r="348" spans="1:10" x14ac:dyDescent="0.3">
      <c r="A348" s="15">
        <v>45778</v>
      </c>
      <c r="B348" s="17" t="s">
        <v>58</v>
      </c>
      <c r="C348" s="3" t="s">
        <v>2</v>
      </c>
      <c r="D348" s="3" t="str">
        <f>VLOOKUP(C348, Ref_Department!$A$2:$D$6, 2, FALSE)</f>
        <v>Lending</v>
      </c>
      <c r="E348" s="3" t="s">
        <v>10</v>
      </c>
      <c r="F348" s="3" t="str">
        <f>VLOOKUP(E348, Ref_GLAccount!$A$2:$D$9, 2, FALSE)</f>
        <v>Professional Services</v>
      </c>
      <c r="G348" s="3" t="str">
        <f>VLOOKUP(E348, Ref_GLAccount!$A$2:$D$9, 3, FALSE)</f>
        <v>Professional Services</v>
      </c>
      <c r="H348" s="6" t="s">
        <v>66</v>
      </c>
      <c r="I348" s="7">
        <v>8419.65</v>
      </c>
      <c r="J348" s="18" t="b">
        <f>IF(tblFactFinance[[#This Row],[MonthStart]] &lt;= Inputs!$B$1, TRUE, FALSE)</f>
        <v>1</v>
      </c>
    </row>
    <row r="349" spans="1:10" x14ac:dyDescent="0.3">
      <c r="A349" s="15">
        <v>45778</v>
      </c>
      <c r="B349" s="17" t="s">
        <v>58</v>
      </c>
      <c r="C349" s="3" t="s">
        <v>2</v>
      </c>
      <c r="D349" s="3" t="str">
        <f>VLOOKUP(C349, Ref_Department!$A$2:$D$6, 2, FALSE)</f>
        <v>Lending</v>
      </c>
      <c r="E349" s="3" t="s">
        <v>10</v>
      </c>
      <c r="F349" s="3" t="str">
        <f>VLOOKUP(E349, Ref_GLAccount!$A$2:$D$9, 2, FALSE)</f>
        <v>Professional Services</v>
      </c>
      <c r="G349" s="3" t="str">
        <f>VLOOKUP(E349, Ref_GLAccount!$A$2:$D$9, 3, FALSE)</f>
        <v>Professional Services</v>
      </c>
      <c r="H349" s="6" t="s">
        <v>70</v>
      </c>
      <c r="I349" s="7">
        <v>8320</v>
      </c>
      <c r="J349" s="18" t="b">
        <f>IF(tblFactFinance[[#This Row],[MonthStart]] &lt;= Inputs!$B$1, TRUE, FALSE)</f>
        <v>1</v>
      </c>
    </row>
    <row r="350" spans="1:10" x14ac:dyDescent="0.3">
      <c r="A350" s="15">
        <v>45778</v>
      </c>
      <c r="B350" s="17" t="s">
        <v>58</v>
      </c>
      <c r="C350" s="3" t="s">
        <v>2</v>
      </c>
      <c r="D350" s="3" t="str">
        <f>VLOOKUP(C350, Ref_Department!$A$2:$D$6, 2, FALSE)</f>
        <v>Lending</v>
      </c>
      <c r="E350" s="3" t="s">
        <v>11</v>
      </c>
      <c r="F350" s="3" t="str">
        <f>VLOOKUP(E350, Ref_GLAccount!$A$2:$D$9, 2, FALSE)</f>
        <v>Office Supplies</v>
      </c>
      <c r="G350" s="3" t="str">
        <f>VLOOKUP(E350, Ref_GLAccount!$A$2:$D$9, 3, FALSE)</f>
        <v>Other OPEX</v>
      </c>
      <c r="H350" s="6" t="s">
        <v>66</v>
      </c>
      <c r="I350" s="7">
        <v>944.6</v>
      </c>
      <c r="J350" s="18" t="b">
        <f>IF(tblFactFinance[[#This Row],[MonthStart]] &lt;= Inputs!$B$1, TRUE, FALSE)</f>
        <v>1</v>
      </c>
    </row>
    <row r="351" spans="1:10" x14ac:dyDescent="0.3">
      <c r="A351" s="15">
        <v>45778</v>
      </c>
      <c r="B351" s="17" t="s">
        <v>58</v>
      </c>
      <c r="C351" s="3" t="s">
        <v>2</v>
      </c>
      <c r="D351" s="3" t="str">
        <f>VLOOKUP(C351, Ref_Department!$A$2:$D$6, 2, FALSE)</f>
        <v>Lending</v>
      </c>
      <c r="E351" s="3" t="s">
        <v>11</v>
      </c>
      <c r="F351" s="3" t="str">
        <f>VLOOKUP(E351, Ref_GLAccount!$A$2:$D$9, 2, FALSE)</f>
        <v>Office Supplies</v>
      </c>
      <c r="G351" s="3" t="str">
        <f>VLOOKUP(E351, Ref_GLAccount!$A$2:$D$9, 3, FALSE)</f>
        <v>Other OPEX</v>
      </c>
      <c r="H351" s="6" t="s">
        <v>70</v>
      </c>
      <c r="I351" s="7">
        <v>936</v>
      </c>
      <c r="J351" s="18" t="b">
        <f>IF(tblFactFinance[[#This Row],[MonthStart]] &lt;= Inputs!$B$1, TRUE, FALSE)</f>
        <v>1</v>
      </c>
    </row>
    <row r="352" spans="1:10" x14ac:dyDescent="0.3">
      <c r="A352" s="15">
        <v>45778</v>
      </c>
      <c r="B352" s="17" t="s">
        <v>58</v>
      </c>
      <c r="C352" s="3" t="s">
        <v>2</v>
      </c>
      <c r="D352" s="3" t="str">
        <f>VLOOKUP(C352, Ref_Department!$A$2:$D$6, 2, FALSE)</f>
        <v>Lending</v>
      </c>
      <c r="E352" s="3" t="s">
        <v>12</v>
      </c>
      <c r="F352" s="3" t="str">
        <f>VLOOKUP(E352, Ref_GLAccount!$A$2:$D$9, 2, FALSE)</f>
        <v>Training &amp; Development</v>
      </c>
      <c r="G352" s="3" t="str">
        <f>VLOOKUP(E352, Ref_GLAccount!$A$2:$D$9, 3, FALSE)</f>
        <v>Other OPEX</v>
      </c>
      <c r="H352" s="6" t="s">
        <v>66</v>
      </c>
      <c r="I352" s="7">
        <v>1420.59</v>
      </c>
      <c r="J352" s="18" t="b">
        <f>IF(tblFactFinance[[#This Row],[MonthStart]] &lt;= Inputs!$B$1, TRUE, FALSE)</f>
        <v>1</v>
      </c>
    </row>
    <row r="353" spans="1:10" x14ac:dyDescent="0.3">
      <c r="A353" s="15">
        <v>45778</v>
      </c>
      <c r="B353" s="17" t="s">
        <v>58</v>
      </c>
      <c r="C353" s="3" t="s">
        <v>2</v>
      </c>
      <c r="D353" s="3" t="str">
        <f>VLOOKUP(C353, Ref_Department!$A$2:$D$6, 2, FALSE)</f>
        <v>Lending</v>
      </c>
      <c r="E353" s="3" t="s">
        <v>12</v>
      </c>
      <c r="F353" s="3" t="str">
        <f>VLOOKUP(E353, Ref_GLAccount!$A$2:$D$9, 2, FALSE)</f>
        <v>Training &amp; Development</v>
      </c>
      <c r="G353" s="3" t="str">
        <f>VLOOKUP(E353, Ref_GLAccount!$A$2:$D$9, 3, FALSE)</f>
        <v>Other OPEX</v>
      </c>
      <c r="H353" s="6" t="s">
        <v>70</v>
      </c>
      <c r="I353" s="7">
        <v>1456</v>
      </c>
      <c r="J353" s="18" t="b">
        <f>IF(tblFactFinance[[#This Row],[MonthStart]] &lt;= Inputs!$B$1, TRUE, FALSE)</f>
        <v>1</v>
      </c>
    </row>
    <row r="354" spans="1:10" x14ac:dyDescent="0.3">
      <c r="A354" s="15">
        <v>45778</v>
      </c>
      <c r="B354" s="17" t="s">
        <v>58</v>
      </c>
      <c r="C354" s="3" t="s">
        <v>3</v>
      </c>
      <c r="D354" s="3" t="str">
        <f>VLOOKUP(C354, Ref_Department!$A$2:$D$6, 2, FALSE)</f>
        <v>Information Technology</v>
      </c>
      <c r="E354" s="3" t="s">
        <v>33</v>
      </c>
      <c r="F354" s="3" t="str">
        <f>VLOOKUP(E354, Ref_GLAccount!$A$2:$D$9, 2, FALSE)</f>
        <v>Salaries</v>
      </c>
      <c r="G354" s="3" t="str">
        <f>VLOOKUP(E354, Ref_GLAccount!$A$2:$D$9, 3, FALSE)</f>
        <v>Personnel</v>
      </c>
      <c r="H354" s="6" t="s">
        <v>66</v>
      </c>
      <c r="I354" s="7">
        <v>156685.65</v>
      </c>
      <c r="J354" s="18" t="b">
        <f>IF(tblFactFinance[[#This Row],[MonthStart]] &lt;= Inputs!$B$1, TRUE, FALSE)</f>
        <v>1</v>
      </c>
    </row>
    <row r="355" spans="1:10" x14ac:dyDescent="0.3">
      <c r="A355" s="15">
        <v>45778</v>
      </c>
      <c r="B355" s="17" t="s">
        <v>58</v>
      </c>
      <c r="C355" s="3" t="s">
        <v>3</v>
      </c>
      <c r="D355" s="3" t="str">
        <f>VLOOKUP(C355, Ref_Department!$A$2:$D$6, 2, FALSE)</f>
        <v>Information Technology</v>
      </c>
      <c r="E355" s="3" t="s">
        <v>33</v>
      </c>
      <c r="F355" s="3" t="str">
        <f>VLOOKUP(E355, Ref_GLAccount!$A$2:$D$9, 2, FALSE)</f>
        <v>Salaries</v>
      </c>
      <c r="G355" s="3" t="str">
        <f>VLOOKUP(E355, Ref_GLAccount!$A$2:$D$9, 3, FALSE)</f>
        <v>Personnel</v>
      </c>
      <c r="H355" s="6" t="s">
        <v>70</v>
      </c>
      <c r="I355" s="7">
        <v>151410</v>
      </c>
      <c r="J355" s="18" t="b">
        <f>IF(tblFactFinance[[#This Row],[MonthStart]] &lt;= Inputs!$B$1, TRUE, FALSE)</f>
        <v>1</v>
      </c>
    </row>
    <row r="356" spans="1:10" x14ac:dyDescent="0.3">
      <c r="A356" s="15">
        <v>45778</v>
      </c>
      <c r="B356" s="17" t="s">
        <v>58</v>
      </c>
      <c r="C356" s="3" t="s">
        <v>3</v>
      </c>
      <c r="D356" s="3" t="str">
        <f>VLOOKUP(C356, Ref_Department!$A$2:$D$6, 2, FALSE)</f>
        <v>Information Technology</v>
      </c>
      <c r="E356" s="3" t="s">
        <v>37</v>
      </c>
      <c r="F356" s="3" t="str">
        <f>VLOOKUP(E356, Ref_GLAccount!$A$2:$D$9, 2, FALSE)</f>
        <v>Benefits</v>
      </c>
      <c r="G356" s="3" t="str">
        <f>VLOOKUP(E356, Ref_GLAccount!$A$2:$D$9, 3, FALSE)</f>
        <v>Personnel</v>
      </c>
      <c r="H356" s="6" t="s">
        <v>66</v>
      </c>
      <c r="I356" s="7">
        <v>34119.730000000003</v>
      </c>
      <c r="J356" s="18" t="b">
        <f>IF(tblFactFinance[[#This Row],[MonthStart]] &lt;= Inputs!$B$1, TRUE, FALSE)</f>
        <v>1</v>
      </c>
    </row>
    <row r="357" spans="1:10" x14ac:dyDescent="0.3">
      <c r="A357" s="15">
        <v>45778</v>
      </c>
      <c r="B357" s="17" t="s">
        <v>58</v>
      </c>
      <c r="C357" s="3" t="s">
        <v>3</v>
      </c>
      <c r="D357" s="3" t="str">
        <f>VLOOKUP(C357, Ref_Department!$A$2:$D$6, 2, FALSE)</f>
        <v>Information Technology</v>
      </c>
      <c r="E357" s="3" t="s">
        <v>37</v>
      </c>
      <c r="F357" s="3" t="str">
        <f>VLOOKUP(E357, Ref_GLAccount!$A$2:$D$9, 2, FALSE)</f>
        <v>Benefits</v>
      </c>
      <c r="G357" s="3" t="str">
        <f>VLOOKUP(E357, Ref_GLAccount!$A$2:$D$9, 3, FALSE)</f>
        <v>Personnel</v>
      </c>
      <c r="H357" s="6" t="s">
        <v>70</v>
      </c>
      <c r="I357" s="7">
        <v>33310.199999999997</v>
      </c>
      <c r="J357" s="18" t="b">
        <f>IF(tblFactFinance[[#This Row],[MonthStart]] &lt;= Inputs!$B$1, TRUE, FALSE)</f>
        <v>1</v>
      </c>
    </row>
    <row r="358" spans="1:10" x14ac:dyDescent="0.3">
      <c r="A358" s="15">
        <v>45778</v>
      </c>
      <c r="B358" s="17" t="s">
        <v>58</v>
      </c>
      <c r="C358" s="3" t="s">
        <v>3</v>
      </c>
      <c r="D358" s="3" t="str">
        <f>VLOOKUP(C358, Ref_Department!$A$2:$D$6, 2, FALSE)</f>
        <v>Information Technology</v>
      </c>
      <c r="E358" s="3" t="s">
        <v>7</v>
      </c>
      <c r="F358" s="3" t="str">
        <f>VLOOKUP(E358, Ref_GLAccount!$A$2:$D$9, 2, FALSE)</f>
        <v>Occupancy &amp; Facilities</v>
      </c>
      <c r="G358" s="3" t="str">
        <f>VLOOKUP(E358, Ref_GLAccount!$A$2:$D$9, 3, FALSE)</f>
        <v>Facilities</v>
      </c>
      <c r="H358" s="6" t="s">
        <v>66</v>
      </c>
      <c r="I358" s="7">
        <v>8641.7999999999993</v>
      </c>
      <c r="J358" s="18" t="b">
        <f>IF(tblFactFinance[[#This Row],[MonthStart]] &lt;= Inputs!$B$1, TRUE, FALSE)</f>
        <v>1</v>
      </c>
    </row>
    <row r="359" spans="1:10" x14ac:dyDescent="0.3">
      <c r="A359" s="15">
        <v>45778</v>
      </c>
      <c r="B359" s="17" t="s">
        <v>58</v>
      </c>
      <c r="C359" s="3" t="s">
        <v>3</v>
      </c>
      <c r="D359" s="3" t="str">
        <f>VLOOKUP(C359, Ref_Department!$A$2:$D$6, 2, FALSE)</f>
        <v>Information Technology</v>
      </c>
      <c r="E359" s="3" t="s">
        <v>7</v>
      </c>
      <c r="F359" s="3" t="str">
        <f>VLOOKUP(E359, Ref_GLAccount!$A$2:$D$9, 2, FALSE)</f>
        <v>Occupancy &amp; Facilities</v>
      </c>
      <c r="G359" s="3" t="str">
        <f>VLOOKUP(E359, Ref_GLAccount!$A$2:$D$9, 3, FALSE)</f>
        <v>Facilities</v>
      </c>
      <c r="H359" s="6" t="s">
        <v>70</v>
      </c>
      <c r="I359" s="7">
        <v>9000</v>
      </c>
      <c r="J359" s="18" t="b">
        <f>IF(tblFactFinance[[#This Row],[MonthStart]] &lt;= Inputs!$B$1, TRUE, FALSE)</f>
        <v>1</v>
      </c>
    </row>
    <row r="360" spans="1:10" x14ac:dyDescent="0.3">
      <c r="A360" s="15">
        <v>45778</v>
      </c>
      <c r="B360" s="17" t="s">
        <v>58</v>
      </c>
      <c r="C360" s="3" t="s">
        <v>3</v>
      </c>
      <c r="D360" s="3" t="str">
        <f>VLOOKUP(C360, Ref_Department!$A$2:$D$6, 2, FALSE)</f>
        <v>Information Technology</v>
      </c>
      <c r="E360" s="3" t="s">
        <v>8</v>
      </c>
      <c r="F360" s="3" t="str">
        <f>VLOOKUP(E360, Ref_GLAccount!$A$2:$D$9, 2, FALSE)</f>
        <v>IT Software &amp; Subscriptions</v>
      </c>
      <c r="G360" s="3" t="str">
        <f>VLOOKUP(E360, Ref_GLAccount!$A$2:$D$9, 3, FALSE)</f>
        <v>IT</v>
      </c>
      <c r="H360" s="6" t="s">
        <v>66</v>
      </c>
      <c r="I360" s="7">
        <v>44585.43</v>
      </c>
      <c r="J360" s="18" t="b">
        <f>IF(tblFactFinance[[#This Row],[MonthStart]] &lt;= Inputs!$B$1, TRUE, FALSE)</f>
        <v>1</v>
      </c>
    </row>
    <row r="361" spans="1:10" x14ac:dyDescent="0.3">
      <c r="A361" s="15">
        <v>45778</v>
      </c>
      <c r="B361" s="17" t="s">
        <v>58</v>
      </c>
      <c r="C361" s="3" t="s">
        <v>3</v>
      </c>
      <c r="D361" s="3" t="str">
        <f>VLOOKUP(C361, Ref_Department!$A$2:$D$6, 2, FALSE)</f>
        <v>Information Technology</v>
      </c>
      <c r="E361" s="3" t="s">
        <v>8</v>
      </c>
      <c r="F361" s="3" t="str">
        <f>VLOOKUP(E361, Ref_GLAccount!$A$2:$D$9, 2, FALSE)</f>
        <v>IT Software &amp; Subscriptions</v>
      </c>
      <c r="G361" s="3" t="str">
        <f>VLOOKUP(E361, Ref_GLAccount!$A$2:$D$9, 3, FALSE)</f>
        <v>IT</v>
      </c>
      <c r="H361" s="6" t="s">
        <v>70</v>
      </c>
      <c r="I361" s="7">
        <v>43680</v>
      </c>
      <c r="J361" s="18" t="b">
        <f>IF(tblFactFinance[[#This Row],[MonthStart]] &lt;= Inputs!$B$1, TRUE, FALSE)</f>
        <v>1</v>
      </c>
    </row>
    <row r="362" spans="1:10" x14ac:dyDescent="0.3">
      <c r="A362" s="15">
        <v>45778</v>
      </c>
      <c r="B362" s="17" t="s">
        <v>58</v>
      </c>
      <c r="C362" s="3" t="s">
        <v>3</v>
      </c>
      <c r="D362" s="3" t="str">
        <f>VLOOKUP(C362, Ref_Department!$A$2:$D$6, 2, FALSE)</f>
        <v>Information Technology</v>
      </c>
      <c r="E362" s="3" t="s">
        <v>9</v>
      </c>
      <c r="F362" s="3" t="str">
        <f>VLOOKUP(E362, Ref_GLAccount!$A$2:$D$9, 2, FALSE)</f>
        <v>Marketing &amp; Advertising</v>
      </c>
      <c r="G362" s="3" t="str">
        <f>VLOOKUP(E362, Ref_GLAccount!$A$2:$D$9, 3, FALSE)</f>
        <v>Marketing</v>
      </c>
      <c r="H362" s="6" t="s">
        <v>66</v>
      </c>
      <c r="I362" s="7">
        <v>1547.76</v>
      </c>
      <c r="J362" s="18" t="b">
        <f>IF(tblFactFinance[[#This Row],[MonthStart]] &lt;= Inputs!$B$1, TRUE, FALSE)</f>
        <v>1</v>
      </c>
    </row>
    <row r="363" spans="1:10" x14ac:dyDescent="0.3">
      <c r="A363" s="15">
        <v>45778</v>
      </c>
      <c r="B363" s="17" t="s">
        <v>58</v>
      </c>
      <c r="C363" s="3" t="s">
        <v>3</v>
      </c>
      <c r="D363" s="3" t="str">
        <f>VLOOKUP(C363, Ref_Department!$A$2:$D$6, 2, FALSE)</f>
        <v>Information Technology</v>
      </c>
      <c r="E363" s="3" t="s">
        <v>9</v>
      </c>
      <c r="F363" s="3" t="str">
        <f>VLOOKUP(E363, Ref_GLAccount!$A$2:$D$9, 2, FALSE)</f>
        <v>Marketing &amp; Advertising</v>
      </c>
      <c r="G363" s="3" t="str">
        <f>VLOOKUP(E363, Ref_GLAccount!$A$2:$D$9, 3, FALSE)</f>
        <v>Marketing</v>
      </c>
      <c r="H363" s="6" t="s">
        <v>70</v>
      </c>
      <c r="I363" s="7">
        <v>1560</v>
      </c>
      <c r="J363" s="18" t="b">
        <f>IF(tblFactFinance[[#This Row],[MonthStart]] &lt;= Inputs!$B$1, TRUE, FALSE)</f>
        <v>1</v>
      </c>
    </row>
    <row r="364" spans="1:10" x14ac:dyDescent="0.3">
      <c r="A364" s="15">
        <v>45778</v>
      </c>
      <c r="B364" s="17" t="s">
        <v>58</v>
      </c>
      <c r="C364" s="3" t="s">
        <v>3</v>
      </c>
      <c r="D364" s="3" t="str">
        <f>VLOOKUP(C364, Ref_Department!$A$2:$D$6, 2, FALSE)</f>
        <v>Information Technology</v>
      </c>
      <c r="E364" s="3" t="s">
        <v>10</v>
      </c>
      <c r="F364" s="3" t="str">
        <f>VLOOKUP(E364, Ref_GLAccount!$A$2:$D$9, 2, FALSE)</f>
        <v>Professional Services</v>
      </c>
      <c r="G364" s="3" t="str">
        <f>VLOOKUP(E364, Ref_GLAccount!$A$2:$D$9, 3, FALSE)</f>
        <v>Professional Services</v>
      </c>
      <c r="H364" s="6" t="s">
        <v>66</v>
      </c>
      <c r="I364" s="7">
        <v>11739.67</v>
      </c>
      <c r="J364" s="18" t="b">
        <f>IF(tblFactFinance[[#This Row],[MonthStart]] &lt;= Inputs!$B$1, TRUE, FALSE)</f>
        <v>1</v>
      </c>
    </row>
    <row r="365" spans="1:10" x14ac:dyDescent="0.3">
      <c r="A365" s="15">
        <v>45778</v>
      </c>
      <c r="B365" s="17" t="s">
        <v>58</v>
      </c>
      <c r="C365" s="3" t="s">
        <v>3</v>
      </c>
      <c r="D365" s="3" t="str">
        <f>VLOOKUP(C365, Ref_Department!$A$2:$D$6, 2, FALSE)</f>
        <v>Information Technology</v>
      </c>
      <c r="E365" s="3" t="s">
        <v>10</v>
      </c>
      <c r="F365" s="3" t="str">
        <f>VLOOKUP(E365, Ref_GLAccount!$A$2:$D$9, 2, FALSE)</f>
        <v>Professional Services</v>
      </c>
      <c r="G365" s="3" t="str">
        <f>VLOOKUP(E365, Ref_GLAccount!$A$2:$D$9, 3, FALSE)</f>
        <v>Professional Services</v>
      </c>
      <c r="H365" s="6" t="s">
        <v>70</v>
      </c>
      <c r="I365" s="7">
        <v>12480</v>
      </c>
      <c r="J365" s="18" t="b">
        <f>IF(tblFactFinance[[#This Row],[MonthStart]] &lt;= Inputs!$B$1, TRUE, FALSE)</f>
        <v>1</v>
      </c>
    </row>
    <row r="366" spans="1:10" x14ac:dyDescent="0.3">
      <c r="A366" s="15">
        <v>45778</v>
      </c>
      <c r="B366" s="17" t="s">
        <v>58</v>
      </c>
      <c r="C366" s="3" t="s">
        <v>3</v>
      </c>
      <c r="D366" s="3" t="str">
        <f>VLOOKUP(C366, Ref_Department!$A$2:$D$6, 2, FALSE)</f>
        <v>Information Technology</v>
      </c>
      <c r="E366" s="3" t="s">
        <v>11</v>
      </c>
      <c r="F366" s="3" t="str">
        <f>VLOOKUP(E366, Ref_GLAccount!$A$2:$D$9, 2, FALSE)</f>
        <v>Office Supplies</v>
      </c>
      <c r="G366" s="3" t="str">
        <f>VLOOKUP(E366, Ref_GLAccount!$A$2:$D$9, 3, FALSE)</f>
        <v>Other OPEX</v>
      </c>
      <c r="H366" s="6" t="s">
        <v>66</v>
      </c>
      <c r="I366" s="7">
        <v>847.07</v>
      </c>
      <c r="J366" s="18" t="b">
        <f>IF(tblFactFinance[[#This Row],[MonthStart]] &lt;= Inputs!$B$1, TRUE, FALSE)</f>
        <v>1</v>
      </c>
    </row>
    <row r="367" spans="1:10" x14ac:dyDescent="0.3">
      <c r="A367" s="15">
        <v>45778</v>
      </c>
      <c r="B367" s="17" t="s">
        <v>58</v>
      </c>
      <c r="C367" s="3" t="s">
        <v>3</v>
      </c>
      <c r="D367" s="3" t="str">
        <f>VLOOKUP(C367, Ref_Department!$A$2:$D$6, 2, FALSE)</f>
        <v>Information Technology</v>
      </c>
      <c r="E367" s="3" t="s">
        <v>11</v>
      </c>
      <c r="F367" s="3" t="str">
        <f>VLOOKUP(E367, Ref_GLAccount!$A$2:$D$9, 2, FALSE)</f>
        <v>Office Supplies</v>
      </c>
      <c r="G367" s="3" t="str">
        <f>VLOOKUP(E367, Ref_GLAccount!$A$2:$D$9, 3, FALSE)</f>
        <v>Other OPEX</v>
      </c>
      <c r="H367" s="6" t="s">
        <v>70</v>
      </c>
      <c r="I367" s="7">
        <v>832</v>
      </c>
      <c r="J367" s="18" t="b">
        <f>IF(tblFactFinance[[#This Row],[MonthStart]] &lt;= Inputs!$B$1, TRUE, FALSE)</f>
        <v>1</v>
      </c>
    </row>
    <row r="368" spans="1:10" x14ac:dyDescent="0.3">
      <c r="A368" s="15">
        <v>45778</v>
      </c>
      <c r="B368" s="17" t="s">
        <v>58</v>
      </c>
      <c r="C368" s="3" t="s">
        <v>3</v>
      </c>
      <c r="D368" s="3" t="str">
        <f>VLOOKUP(C368, Ref_Department!$A$2:$D$6, 2, FALSE)</f>
        <v>Information Technology</v>
      </c>
      <c r="E368" s="3" t="s">
        <v>12</v>
      </c>
      <c r="F368" s="3" t="str">
        <f>VLOOKUP(E368, Ref_GLAccount!$A$2:$D$9, 2, FALSE)</f>
        <v>Training &amp; Development</v>
      </c>
      <c r="G368" s="3" t="str">
        <f>VLOOKUP(E368, Ref_GLAccount!$A$2:$D$9, 3, FALSE)</f>
        <v>Other OPEX</v>
      </c>
      <c r="H368" s="6" t="s">
        <v>66</v>
      </c>
      <c r="I368" s="7">
        <v>1868.61</v>
      </c>
      <c r="J368" s="18" t="b">
        <f>IF(tblFactFinance[[#This Row],[MonthStart]] &lt;= Inputs!$B$1, TRUE, FALSE)</f>
        <v>1</v>
      </c>
    </row>
    <row r="369" spans="1:10" x14ac:dyDescent="0.3">
      <c r="A369" s="15">
        <v>45778</v>
      </c>
      <c r="B369" s="17" t="s">
        <v>58</v>
      </c>
      <c r="C369" s="3" t="s">
        <v>3</v>
      </c>
      <c r="D369" s="3" t="str">
        <f>VLOOKUP(C369, Ref_Department!$A$2:$D$6, 2, FALSE)</f>
        <v>Information Technology</v>
      </c>
      <c r="E369" s="3" t="s">
        <v>12</v>
      </c>
      <c r="F369" s="3" t="str">
        <f>VLOOKUP(E369, Ref_GLAccount!$A$2:$D$9, 2, FALSE)</f>
        <v>Training &amp; Development</v>
      </c>
      <c r="G369" s="3" t="str">
        <f>VLOOKUP(E369, Ref_GLAccount!$A$2:$D$9, 3, FALSE)</f>
        <v>Other OPEX</v>
      </c>
      <c r="H369" s="6" t="s">
        <v>70</v>
      </c>
      <c r="I369" s="7">
        <v>1872</v>
      </c>
      <c r="J369" s="18" t="b">
        <f>IF(tblFactFinance[[#This Row],[MonthStart]] &lt;= Inputs!$B$1, TRUE, FALSE)</f>
        <v>1</v>
      </c>
    </row>
    <row r="370" spans="1:10" x14ac:dyDescent="0.3">
      <c r="A370" s="15">
        <v>45778</v>
      </c>
      <c r="B370" s="17" t="s">
        <v>58</v>
      </c>
      <c r="C370" s="3" t="s">
        <v>4</v>
      </c>
      <c r="D370" s="3" t="str">
        <f>VLOOKUP(C370, Ref_Department!$A$2:$D$6, 2, FALSE)</f>
        <v>Marketing</v>
      </c>
      <c r="E370" s="3" t="s">
        <v>33</v>
      </c>
      <c r="F370" s="3" t="str">
        <f>VLOOKUP(E370, Ref_GLAccount!$A$2:$D$9, 2, FALSE)</f>
        <v>Salaries</v>
      </c>
      <c r="G370" s="3" t="str">
        <f>VLOOKUP(E370, Ref_GLAccount!$A$2:$D$9, 3, FALSE)</f>
        <v>Personnel</v>
      </c>
      <c r="H370" s="6" t="s">
        <v>66</v>
      </c>
      <c r="I370" s="7">
        <v>62455.9</v>
      </c>
      <c r="J370" s="18" t="b">
        <f>IF(tblFactFinance[[#This Row],[MonthStart]] &lt;= Inputs!$B$1, TRUE, FALSE)</f>
        <v>1</v>
      </c>
    </row>
    <row r="371" spans="1:10" x14ac:dyDescent="0.3">
      <c r="A371" s="15">
        <v>45778</v>
      </c>
      <c r="B371" s="17" t="s">
        <v>58</v>
      </c>
      <c r="C371" s="3" t="s">
        <v>4</v>
      </c>
      <c r="D371" s="3" t="str">
        <f>VLOOKUP(C371, Ref_Department!$A$2:$D$6, 2, FALSE)</f>
        <v>Marketing</v>
      </c>
      <c r="E371" s="3" t="s">
        <v>33</v>
      </c>
      <c r="F371" s="3" t="str">
        <f>VLOOKUP(E371, Ref_GLAccount!$A$2:$D$9, 2, FALSE)</f>
        <v>Salaries</v>
      </c>
      <c r="G371" s="3" t="str">
        <f>VLOOKUP(E371, Ref_GLAccount!$A$2:$D$9, 3, FALSE)</f>
        <v>Personnel</v>
      </c>
      <c r="H371" s="6" t="s">
        <v>70</v>
      </c>
      <c r="I371" s="7">
        <v>64375</v>
      </c>
      <c r="J371" s="18" t="b">
        <f>IF(tblFactFinance[[#This Row],[MonthStart]] &lt;= Inputs!$B$1, TRUE, FALSE)</f>
        <v>1</v>
      </c>
    </row>
    <row r="372" spans="1:10" x14ac:dyDescent="0.3">
      <c r="A372" s="15">
        <v>45778</v>
      </c>
      <c r="B372" s="17" t="s">
        <v>58</v>
      </c>
      <c r="C372" s="3" t="s">
        <v>4</v>
      </c>
      <c r="D372" s="3" t="str">
        <f>VLOOKUP(C372, Ref_Department!$A$2:$D$6, 2, FALSE)</f>
        <v>Marketing</v>
      </c>
      <c r="E372" s="3" t="s">
        <v>37</v>
      </c>
      <c r="F372" s="3" t="str">
        <f>VLOOKUP(E372, Ref_GLAccount!$A$2:$D$9, 2, FALSE)</f>
        <v>Benefits</v>
      </c>
      <c r="G372" s="3" t="str">
        <f>VLOOKUP(E372, Ref_GLAccount!$A$2:$D$9, 3, FALSE)</f>
        <v>Personnel</v>
      </c>
      <c r="H372" s="6" t="s">
        <v>66</v>
      </c>
      <c r="I372" s="7">
        <v>14458.75</v>
      </c>
      <c r="J372" s="18" t="b">
        <f>IF(tblFactFinance[[#This Row],[MonthStart]] &lt;= Inputs!$B$1, TRUE, FALSE)</f>
        <v>1</v>
      </c>
    </row>
    <row r="373" spans="1:10" x14ac:dyDescent="0.3">
      <c r="A373" s="15">
        <v>45778</v>
      </c>
      <c r="B373" s="17" t="s">
        <v>58</v>
      </c>
      <c r="C373" s="3" t="s">
        <v>4</v>
      </c>
      <c r="D373" s="3" t="str">
        <f>VLOOKUP(C373, Ref_Department!$A$2:$D$6, 2, FALSE)</f>
        <v>Marketing</v>
      </c>
      <c r="E373" s="3" t="s">
        <v>37</v>
      </c>
      <c r="F373" s="3" t="str">
        <f>VLOOKUP(E373, Ref_GLAccount!$A$2:$D$9, 2, FALSE)</f>
        <v>Benefits</v>
      </c>
      <c r="G373" s="3" t="str">
        <f>VLOOKUP(E373, Ref_GLAccount!$A$2:$D$9, 3, FALSE)</f>
        <v>Personnel</v>
      </c>
      <c r="H373" s="6" t="s">
        <v>70</v>
      </c>
      <c r="I373" s="7">
        <v>14162.5</v>
      </c>
      <c r="J373" s="18" t="b">
        <f>IF(tblFactFinance[[#This Row],[MonthStart]] &lt;= Inputs!$B$1, TRUE, FALSE)</f>
        <v>1</v>
      </c>
    </row>
    <row r="374" spans="1:10" x14ac:dyDescent="0.3">
      <c r="A374" s="15">
        <v>45778</v>
      </c>
      <c r="B374" s="17" t="s">
        <v>58</v>
      </c>
      <c r="C374" s="3" t="s">
        <v>4</v>
      </c>
      <c r="D374" s="3" t="str">
        <f>VLOOKUP(C374, Ref_Department!$A$2:$D$6, 2, FALSE)</f>
        <v>Marketing</v>
      </c>
      <c r="E374" s="3" t="s">
        <v>7</v>
      </c>
      <c r="F374" s="3" t="str">
        <f>VLOOKUP(E374, Ref_GLAccount!$A$2:$D$9, 2, FALSE)</f>
        <v>Occupancy &amp; Facilities</v>
      </c>
      <c r="G374" s="3" t="str">
        <f>VLOOKUP(E374, Ref_GLAccount!$A$2:$D$9, 3, FALSE)</f>
        <v>Facilities</v>
      </c>
      <c r="H374" s="6" t="s">
        <v>66</v>
      </c>
      <c r="I374" s="7">
        <v>6117.14</v>
      </c>
      <c r="J374" s="18" t="b">
        <f>IF(tblFactFinance[[#This Row],[MonthStart]] &lt;= Inputs!$B$1, TRUE, FALSE)</f>
        <v>1</v>
      </c>
    </row>
    <row r="375" spans="1:10" x14ac:dyDescent="0.3">
      <c r="A375" s="15">
        <v>45778</v>
      </c>
      <c r="B375" s="17" t="s">
        <v>58</v>
      </c>
      <c r="C375" s="3" t="s">
        <v>4</v>
      </c>
      <c r="D375" s="3" t="str">
        <f>VLOOKUP(C375, Ref_Department!$A$2:$D$6, 2, FALSE)</f>
        <v>Marketing</v>
      </c>
      <c r="E375" s="3" t="s">
        <v>7</v>
      </c>
      <c r="F375" s="3" t="str">
        <f>VLOOKUP(E375, Ref_GLAccount!$A$2:$D$9, 2, FALSE)</f>
        <v>Occupancy &amp; Facilities</v>
      </c>
      <c r="G375" s="3" t="str">
        <f>VLOOKUP(E375, Ref_GLAccount!$A$2:$D$9, 3, FALSE)</f>
        <v>Facilities</v>
      </c>
      <c r="H375" s="6" t="s">
        <v>70</v>
      </c>
      <c r="I375" s="7">
        <v>6000</v>
      </c>
      <c r="J375" s="18" t="b">
        <f>IF(tblFactFinance[[#This Row],[MonthStart]] &lt;= Inputs!$B$1, TRUE, FALSE)</f>
        <v>1</v>
      </c>
    </row>
    <row r="376" spans="1:10" x14ac:dyDescent="0.3">
      <c r="A376" s="15">
        <v>45778</v>
      </c>
      <c r="B376" s="17" t="s">
        <v>58</v>
      </c>
      <c r="C376" s="3" t="s">
        <v>4</v>
      </c>
      <c r="D376" s="3" t="str">
        <f>VLOOKUP(C376, Ref_Department!$A$2:$D$6, 2, FALSE)</f>
        <v>Marketing</v>
      </c>
      <c r="E376" s="3" t="s">
        <v>8</v>
      </c>
      <c r="F376" s="3" t="str">
        <f>VLOOKUP(E376, Ref_GLAccount!$A$2:$D$9, 2, FALSE)</f>
        <v>IT Software &amp; Subscriptions</v>
      </c>
      <c r="G376" s="3" t="str">
        <f>VLOOKUP(E376, Ref_GLAccount!$A$2:$D$9, 3, FALSE)</f>
        <v>IT</v>
      </c>
      <c r="H376" s="6" t="s">
        <v>66</v>
      </c>
      <c r="I376" s="7">
        <v>7111.82</v>
      </c>
      <c r="J376" s="18" t="b">
        <f>IF(tblFactFinance[[#This Row],[MonthStart]] &lt;= Inputs!$B$1, TRUE, FALSE)</f>
        <v>1</v>
      </c>
    </row>
    <row r="377" spans="1:10" x14ac:dyDescent="0.3">
      <c r="A377" s="15">
        <v>45778</v>
      </c>
      <c r="B377" s="17" t="s">
        <v>58</v>
      </c>
      <c r="C377" s="3" t="s">
        <v>4</v>
      </c>
      <c r="D377" s="3" t="str">
        <f>VLOOKUP(C377, Ref_Department!$A$2:$D$6, 2, FALSE)</f>
        <v>Marketing</v>
      </c>
      <c r="E377" s="3" t="s">
        <v>8</v>
      </c>
      <c r="F377" s="3" t="str">
        <f>VLOOKUP(E377, Ref_GLAccount!$A$2:$D$9, 2, FALSE)</f>
        <v>IT Software &amp; Subscriptions</v>
      </c>
      <c r="G377" s="3" t="str">
        <f>VLOOKUP(E377, Ref_GLAccount!$A$2:$D$9, 3, FALSE)</f>
        <v>IT</v>
      </c>
      <c r="H377" s="6" t="s">
        <v>70</v>
      </c>
      <c r="I377" s="7">
        <v>7280</v>
      </c>
      <c r="J377" s="18" t="b">
        <f>IF(tblFactFinance[[#This Row],[MonthStart]] &lt;= Inputs!$B$1, TRUE, FALSE)</f>
        <v>1</v>
      </c>
    </row>
    <row r="378" spans="1:10" x14ac:dyDescent="0.3">
      <c r="A378" s="15">
        <v>45778</v>
      </c>
      <c r="B378" s="17" t="s">
        <v>58</v>
      </c>
      <c r="C378" s="3" t="s">
        <v>4</v>
      </c>
      <c r="D378" s="3" t="str">
        <f>VLOOKUP(C378, Ref_Department!$A$2:$D$6, 2, FALSE)</f>
        <v>Marketing</v>
      </c>
      <c r="E378" s="3" t="s">
        <v>9</v>
      </c>
      <c r="F378" s="3" t="str">
        <f>VLOOKUP(E378, Ref_GLAccount!$A$2:$D$9, 2, FALSE)</f>
        <v>Marketing &amp; Advertising</v>
      </c>
      <c r="G378" s="3" t="str">
        <f>VLOOKUP(E378, Ref_GLAccount!$A$2:$D$9, 3, FALSE)</f>
        <v>Marketing</v>
      </c>
      <c r="H378" s="6" t="s">
        <v>66</v>
      </c>
      <c r="I378" s="7">
        <v>29586.33</v>
      </c>
      <c r="J378" s="18" t="b">
        <f>IF(tblFactFinance[[#This Row],[MonthStart]] &lt;= Inputs!$B$1, TRUE, FALSE)</f>
        <v>1</v>
      </c>
    </row>
    <row r="379" spans="1:10" x14ac:dyDescent="0.3">
      <c r="A379" s="15">
        <v>45778</v>
      </c>
      <c r="B379" s="17" t="s">
        <v>58</v>
      </c>
      <c r="C379" s="3" t="s">
        <v>4</v>
      </c>
      <c r="D379" s="3" t="str">
        <f>VLOOKUP(C379, Ref_Department!$A$2:$D$6, 2, FALSE)</f>
        <v>Marketing</v>
      </c>
      <c r="E379" s="3" t="s">
        <v>9</v>
      </c>
      <c r="F379" s="3" t="str">
        <f>VLOOKUP(E379, Ref_GLAccount!$A$2:$D$9, 2, FALSE)</f>
        <v>Marketing &amp; Advertising</v>
      </c>
      <c r="G379" s="3" t="str">
        <f>VLOOKUP(E379, Ref_GLAccount!$A$2:$D$9, 3, FALSE)</f>
        <v>Marketing</v>
      </c>
      <c r="H379" s="6" t="s">
        <v>70</v>
      </c>
      <c r="I379" s="7">
        <v>29120</v>
      </c>
      <c r="J379" s="18" t="b">
        <f>IF(tblFactFinance[[#This Row],[MonthStart]] &lt;= Inputs!$B$1, TRUE, FALSE)</f>
        <v>1</v>
      </c>
    </row>
    <row r="380" spans="1:10" x14ac:dyDescent="0.3">
      <c r="A380" s="15">
        <v>45778</v>
      </c>
      <c r="B380" s="17" t="s">
        <v>58</v>
      </c>
      <c r="C380" s="3" t="s">
        <v>4</v>
      </c>
      <c r="D380" s="3" t="str">
        <f>VLOOKUP(C380, Ref_Department!$A$2:$D$6, 2, FALSE)</f>
        <v>Marketing</v>
      </c>
      <c r="E380" s="3" t="s">
        <v>10</v>
      </c>
      <c r="F380" s="3" t="str">
        <f>VLOOKUP(E380, Ref_GLAccount!$A$2:$D$9, 2, FALSE)</f>
        <v>Professional Services</v>
      </c>
      <c r="G380" s="3" t="str">
        <f>VLOOKUP(E380, Ref_GLAccount!$A$2:$D$9, 3, FALSE)</f>
        <v>Professional Services</v>
      </c>
      <c r="H380" s="6" t="s">
        <v>66</v>
      </c>
      <c r="I380" s="7">
        <v>6493.36</v>
      </c>
      <c r="J380" s="18" t="b">
        <f>IF(tblFactFinance[[#This Row],[MonthStart]] &lt;= Inputs!$B$1, TRUE, FALSE)</f>
        <v>1</v>
      </c>
    </row>
    <row r="381" spans="1:10" x14ac:dyDescent="0.3">
      <c r="A381" s="15">
        <v>45778</v>
      </c>
      <c r="B381" s="17" t="s">
        <v>58</v>
      </c>
      <c r="C381" s="3" t="s">
        <v>4</v>
      </c>
      <c r="D381" s="3" t="str">
        <f>VLOOKUP(C381, Ref_Department!$A$2:$D$6, 2, FALSE)</f>
        <v>Marketing</v>
      </c>
      <c r="E381" s="3" t="s">
        <v>10</v>
      </c>
      <c r="F381" s="3" t="str">
        <f>VLOOKUP(E381, Ref_GLAccount!$A$2:$D$9, 2, FALSE)</f>
        <v>Professional Services</v>
      </c>
      <c r="G381" s="3" t="str">
        <f>VLOOKUP(E381, Ref_GLAccount!$A$2:$D$9, 3, FALSE)</f>
        <v>Professional Services</v>
      </c>
      <c r="H381" s="6" t="s">
        <v>70</v>
      </c>
      <c r="I381" s="7">
        <v>6240</v>
      </c>
      <c r="J381" s="18" t="b">
        <f>IF(tblFactFinance[[#This Row],[MonthStart]] &lt;= Inputs!$B$1, TRUE, FALSE)</f>
        <v>1</v>
      </c>
    </row>
    <row r="382" spans="1:10" x14ac:dyDescent="0.3">
      <c r="A382" s="15">
        <v>45778</v>
      </c>
      <c r="B382" s="17" t="s">
        <v>58</v>
      </c>
      <c r="C382" s="3" t="s">
        <v>4</v>
      </c>
      <c r="D382" s="3" t="str">
        <f>VLOOKUP(C382, Ref_Department!$A$2:$D$6, 2, FALSE)</f>
        <v>Marketing</v>
      </c>
      <c r="E382" s="3" t="s">
        <v>11</v>
      </c>
      <c r="F382" s="3" t="str">
        <f>VLOOKUP(E382, Ref_GLAccount!$A$2:$D$9, 2, FALSE)</f>
        <v>Office Supplies</v>
      </c>
      <c r="G382" s="3" t="str">
        <f>VLOOKUP(E382, Ref_GLAccount!$A$2:$D$9, 3, FALSE)</f>
        <v>Other OPEX</v>
      </c>
      <c r="H382" s="6" t="s">
        <v>66</v>
      </c>
      <c r="I382" s="7">
        <v>707.25</v>
      </c>
      <c r="J382" s="18" t="b">
        <f>IF(tblFactFinance[[#This Row],[MonthStart]] &lt;= Inputs!$B$1, TRUE, FALSE)</f>
        <v>1</v>
      </c>
    </row>
    <row r="383" spans="1:10" x14ac:dyDescent="0.3">
      <c r="A383" s="15">
        <v>45778</v>
      </c>
      <c r="B383" s="17" t="s">
        <v>58</v>
      </c>
      <c r="C383" s="3" t="s">
        <v>4</v>
      </c>
      <c r="D383" s="3" t="str">
        <f>VLOOKUP(C383, Ref_Department!$A$2:$D$6, 2, FALSE)</f>
        <v>Marketing</v>
      </c>
      <c r="E383" s="3" t="s">
        <v>11</v>
      </c>
      <c r="F383" s="3" t="str">
        <f>VLOOKUP(E383, Ref_GLAccount!$A$2:$D$9, 2, FALSE)</f>
        <v>Office Supplies</v>
      </c>
      <c r="G383" s="3" t="str">
        <f>VLOOKUP(E383, Ref_GLAccount!$A$2:$D$9, 3, FALSE)</f>
        <v>Other OPEX</v>
      </c>
      <c r="H383" s="6" t="s">
        <v>70</v>
      </c>
      <c r="I383" s="7">
        <v>728</v>
      </c>
      <c r="J383" s="18" t="b">
        <f>IF(tblFactFinance[[#This Row],[MonthStart]] &lt;= Inputs!$B$1, TRUE, FALSE)</f>
        <v>1</v>
      </c>
    </row>
    <row r="384" spans="1:10" x14ac:dyDescent="0.3">
      <c r="A384" s="15">
        <v>45778</v>
      </c>
      <c r="B384" s="17" t="s">
        <v>58</v>
      </c>
      <c r="C384" s="3" t="s">
        <v>4</v>
      </c>
      <c r="D384" s="3" t="str">
        <f>VLOOKUP(C384, Ref_Department!$A$2:$D$6, 2, FALSE)</f>
        <v>Marketing</v>
      </c>
      <c r="E384" s="3" t="s">
        <v>12</v>
      </c>
      <c r="F384" s="3" t="str">
        <f>VLOOKUP(E384, Ref_GLAccount!$A$2:$D$9, 2, FALSE)</f>
        <v>Training &amp; Development</v>
      </c>
      <c r="G384" s="3" t="str">
        <f>VLOOKUP(E384, Ref_GLAccount!$A$2:$D$9, 3, FALSE)</f>
        <v>Other OPEX</v>
      </c>
      <c r="H384" s="6" t="s">
        <v>66</v>
      </c>
      <c r="I384" s="7">
        <v>1161.43</v>
      </c>
      <c r="J384" s="18" t="b">
        <f>IF(tblFactFinance[[#This Row],[MonthStart]] &lt;= Inputs!$B$1, TRUE, FALSE)</f>
        <v>1</v>
      </c>
    </row>
    <row r="385" spans="1:10" x14ac:dyDescent="0.3">
      <c r="A385" s="15">
        <v>45778</v>
      </c>
      <c r="B385" s="17" t="s">
        <v>58</v>
      </c>
      <c r="C385" s="3" t="s">
        <v>4</v>
      </c>
      <c r="D385" s="3" t="str">
        <f>VLOOKUP(C385, Ref_Department!$A$2:$D$6, 2, FALSE)</f>
        <v>Marketing</v>
      </c>
      <c r="E385" s="3" t="s">
        <v>12</v>
      </c>
      <c r="F385" s="3" t="str">
        <f>VLOOKUP(E385, Ref_GLAccount!$A$2:$D$9, 2, FALSE)</f>
        <v>Training &amp; Development</v>
      </c>
      <c r="G385" s="3" t="str">
        <f>VLOOKUP(E385, Ref_GLAccount!$A$2:$D$9, 3, FALSE)</f>
        <v>Other OPEX</v>
      </c>
      <c r="H385" s="6" t="s">
        <v>70</v>
      </c>
      <c r="I385" s="7">
        <v>1144</v>
      </c>
      <c r="J385" s="18" t="b">
        <f>IF(tblFactFinance[[#This Row],[MonthStart]] &lt;= Inputs!$B$1, TRUE, FALSE)</f>
        <v>1</v>
      </c>
    </row>
    <row r="386" spans="1:10" x14ac:dyDescent="0.3">
      <c r="A386" s="15">
        <v>45778</v>
      </c>
      <c r="B386" s="17" t="s">
        <v>58</v>
      </c>
      <c r="C386" s="3" t="s">
        <v>5</v>
      </c>
      <c r="D386" s="3" t="str">
        <f>VLOOKUP(C386, Ref_Department!$A$2:$D$6, 2, FALSE)</f>
        <v>Human Resources</v>
      </c>
      <c r="E386" s="3" t="s">
        <v>33</v>
      </c>
      <c r="F386" s="3" t="str">
        <f>VLOOKUP(E386, Ref_GLAccount!$A$2:$D$9, 2, FALSE)</f>
        <v>Salaries</v>
      </c>
      <c r="G386" s="3" t="str">
        <f>VLOOKUP(E386, Ref_GLAccount!$A$2:$D$9, 3, FALSE)</f>
        <v>Personnel</v>
      </c>
      <c r="H386" s="6" t="s">
        <v>66</v>
      </c>
      <c r="I386" s="7">
        <v>53565.9</v>
      </c>
      <c r="J386" s="18" t="b">
        <f>IF(tblFactFinance[[#This Row],[MonthStart]] &lt;= Inputs!$B$1, TRUE, FALSE)</f>
        <v>1</v>
      </c>
    </row>
    <row r="387" spans="1:10" x14ac:dyDescent="0.3">
      <c r="A387" s="15">
        <v>45778</v>
      </c>
      <c r="B387" s="17" t="s">
        <v>58</v>
      </c>
      <c r="C387" s="3" t="s">
        <v>5</v>
      </c>
      <c r="D387" s="3" t="str">
        <f>VLOOKUP(C387, Ref_Department!$A$2:$D$6, 2, FALSE)</f>
        <v>Human Resources</v>
      </c>
      <c r="E387" s="3" t="s">
        <v>33</v>
      </c>
      <c r="F387" s="3" t="str">
        <f>VLOOKUP(E387, Ref_GLAccount!$A$2:$D$9, 2, FALSE)</f>
        <v>Salaries</v>
      </c>
      <c r="G387" s="3" t="str">
        <f>VLOOKUP(E387, Ref_GLAccount!$A$2:$D$9, 3, FALSE)</f>
        <v>Personnel</v>
      </c>
      <c r="H387" s="6" t="s">
        <v>70</v>
      </c>
      <c r="I387" s="7">
        <v>53560</v>
      </c>
      <c r="J387" s="18" t="b">
        <f>IF(tblFactFinance[[#This Row],[MonthStart]] &lt;= Inputs!$B$1, TRUE, FALSE)</f>
        <v>1</v>
      </c>
    </row>
    <row r="388" spans="1:10" x14ac:dyDescent="0.3">
      <c r="A388" s="15">
        <v>45778</v>
      </c>
      <c r="B388" s="17" t="s">
        <v>58</v>
      </c>
      <c r="C388" s="3" t="s">
        <v>5</v>
      </c>
      <c r="D388" s="3" t="str">
        <f>VLOOKUP(C388, Ref_Department!$A$2:$D$6, 2, FALSE)</f>
        <v>Human Resources</v>
      </c>
      <c r="E388" s="3" t="s">
        <v>37</v>
      </c>
      <c r="F388" s="3" t="str">
        <f>VLOOKUP(E388, Ref_GLAccount!$A$2:$D$9, 2, FALSE)</f>
        <v>Benefits</v>
      </c>
      <c r="G388" s="3" t="str">
        <f>VLOOKUP(E388, Ref_GLAccount!$A$2:$D$9, 3, FALSE)</f>
        <v>Personnel</v>
      </c>
      <c r="H388" s="6" t="s">
        <v>66</v>
      </c>
      <c r="I388" s="7">
        <v>12851.23</v>
      </c>
      <c r="J388" s="18" t="b">
        <f>IF(tblFactFinance[[#This Row],[MonthStart]] &lt;= Inputs!$B$1, TRUE, FALSE)</f>
        <v>1</v>
      </c>
    </row>
    <row r="389" spans="1:10" x14ac:dyDescent="0.3">
      <c r="A389" s="15">
        <v>45778</v>
      </c>
      <c r="B389" s="17" t="s">
        <v>58</v>
      </c>
      <c r="C389" s="3" t="s">
        <v>5</v>
      </c>
      <c r="D389" s="3" t="str">
        <f>VLOOKUP(C389, Ref_Department!$A$2:$D$6, 2, FALSE)</f>
        <v>Human Resources</v>
      </c>
      <c r="E389" s="3" t="s">
        <v>37</v>
      </c>
      <c r="F389" s="3" t="str">
        <f>VLOOKUP(E389, Ref_GLAccount!$A$2:$D$9, 2, FALSE)</f>
        <v>Benefits</v>
      </c>
      <c r="G389" s="3" t="str">
        <f>VLOOKUP(E389, Ref_GLAccount!$A$2:$D$9, 3, FALSE)</f>
        <v>Personnel</v>
      </c>
      <c r="H389" s="6" t="s">
        <v>70</v>
      </c>
      <c r="I389" s="7">
        <v>11783.2</v>
      </c>
      <c r="J389" s="18" t="b">
        <f>IF(tblFactFinance[[#This Row],[MonthStart]] &lt;= Inputs!$B$1, TRUE, FALSE)</f>
        <v>1</v>
      </c>
    </row>
    <row r="390" spans="1:10" x14ac:dyDescent="0.3">
      <c r="A390" s="15">
        <v>45778</v>
      </c>
      <c r="B390" s="17" t="s">
        <v>58</v>
      </c>
      <c r="C390" s="3" t="s">
        <v>5</v>
      </c>
      <c r="D390" s="3" t="str">
        <f>VLOOKUP(C390, Ref_Department!$A$2:$D$6, 2, FALSE)</f>
        <v>Human Resources</v>
      </c>
      <c r="E390" s="3" t="s">
        <v>7</v>
      </c>
      <c r="F390" s="3" t="str">
        <f>VLOOKUP(E390, Ref_GLAccount!$A$2:$D$9, 2, FALSE)</f>
        <v>Occupancy &amp; Facilities</v>
      </c>
      <c r="G390" s="3" t="str">
        <f>VLOOKUP(E390, Ref_GLAccount!$A$2:$D$9, 3, FALSE)</f>
        <v>Facilities</v>
      </c>
      <c r="H390" s="6" t="s">
        <v>66</v>
      </c>
      <c r="I390" s="7">
        <v>3702.03</v>
      </c>
      <c r="J390" s="18" t="b">
        <f>IF(tblFactFinance[[#This Row],[MonthStart]] &lt;= Inputs!$B$1, TRUE, FALSE)</f>
        <v>1</v>
      </c>
    </row>
    <row r="391" spans="1:10" x14ac:dyDescent="0.3">
      <c r="A391" s="15">
        <v>45778</v>
      </c>
      <c r="B391" s="17" t="s">
        <v>58</v>
      </c>
      <c r="C391" s="3" t="s">
        <v>5</v>
      </c>
      <c r="D391" s="3" t="str">
        <f>VLOOKUP(C391, Ref_Department!$A$2:$D$6, 2, FALSE)</f>
        <v>Human Resources</v>
      </c>
      <c r="E391" s="3" t="s">
        <v>7</v>
      </c>
      <c r="F391" s="3" t="str">
        <f>VLOOKUP(E391, Ref_GLAccount!$A$2:$D$9, 2, FALSE)</f>
        <v>Occupancy &amp; Facilities</v>
      </c>
      <c r="G391" s="3" t="str">
        <f>VLOOKUP(E391, Ref_GLAccount!$A$2:$D$9, 3, FALSE)</f>
        <v>Facilities</v>
      </c>
      <c r="H391" s="6" t="s">
        <v>70</v>
      </c>
      <c r="I391" s="7">
        <v>4000</v>
      </c>
      <c r="J391" s="18" t="b">
        <f>IF(tblFactFinance[[#This Row],[MonthStart]] &lt;= Inputs!$B$1, TRUE, FALSE)</f>
        <v>1</v>
      </c>
    </row>
    <row r="392" spans="1:10" x14ac:dyDescent="0.3">
      <c r="A392" s="15">
        <v>45778</v>
      </c>
      <c r="B392" s="17" t="s">
        <v>58</v>
      </c>
      <c r="C392" s="3" t="s">
        <v>5</v>
      </c>
      <c r="D392" s="3" t="str">
        <f>VLOOKUP(C392, Ref_Department!$A$2:$D$6, 2, FALSE)</f>
        <v>Human Resources</v>
      </c>
      <c r="E392" s="3" t="s">
        <v>8</v>
      </c>
      <c r="F392" s="3" t="str">
        <f>VLOOKUP(E392, Ref_GLAccount!$A$2:$D$9, 2, FALSE)</f>
        <v>IT Software &amp; Subscriptions</v>
      </c>
      <c r="G392" s="3" t="str">
        <f>VLOOKUP(E392, Ref_GLAccount!$A$2:$D$9, 3, FALSE)</f>
        <v>IT</v>
      </c>
      <c r="H392" s="6" t="s">
        <v>66</v>
      </c>
      <c r="I392" s="7">
        <v>5344.62</v>
      </c>
      <c r="J392" s="18" t="b">
        <f>IF(tblFactFinance[[#This Row],[MonthStart]] &lt;= Inputs!$B$1, TRUE, FALSE)</f>
        <v>1</v>
      </c>
    </row>
    <row r="393" spans="1:10" x14ac:dyDescent="0.3">
      <c r="A393" s="15">
        <v>45778</v>
      </c>
      <c r="B393" s="17" t="s">
        <v>58</v>
      </c>
      <c r="C393" s="3" t="s">
        <v>5</v>
      </c>
      <c r="D393" s="3" t="str">
        <f>VLOOKUP(C393, Ref_Department!$A$2:$D$6, 2, FALSE)</f>
        <v>Human Resources</v>
      </c>
      <c r="E393" s="3" t="s">
        <v>8</v>
      </c>
      <c r="F393" s="3" t="str">
        <f>VLOOKUP(E393, Ref_GLAccount!$A$2:$D$9, 2, FALSE)</f>
        <v>IT Software &amp; Subscriptions</v>
      </c>
      <c r="G393" s="3" t="str">
        <f>VLOOKUP(E393, Ref_GLAccount!$A$2:$D$9, 3, FALSE)</f>
        <v>IT</v>
      </c>
      <c r="H393" s="6" t="s">
        <v>70</v>
      </c>
      <c r="I393" s="7">
        <v>5200</v>
      </c>
      <c r="J393" s="18" t="b">
        <f>IF(tblFactFinance[[#This Row],[MonthStart]] &lt;= Inputs!$B$1, TRUE, FALSE)</f>
        <v>1</v>
      </c>
    </row>
    <row r="394" spans="1:10" x14ac:dyDescent="0.3">
      <c r="A394" s="15">
        <v>45778</v>
      </c>
      <c r="B394" s="17" t="s">
        <v>58</v>
      </c>
      <c r="C394" s="3" t="s">
        <v>5</v>
      </c>
      <c r="D394" s="3" t="str">
        <f>VLOOKUP(C394, Ref_Department!$A$2:$D$6, 2, FALSE)</f>
        <v>Human Resources</v>
      </c>
      <c r="E394" s="3" t="s">
        <v>9</v>
      </c>
      <c r="F394" s="3" t="str">
        <f>VLOOKUP(E394, Ref_GLAccount!$A$2:$D$9, 2, FALSE)</f>
        <v>Marketing &amp; Advertising</v>
      </c>
      <c r="G394" s="3" t="str">
        <f>VLOOKUP(E394, Ref_GLAccount!$A$2:$D$9, 3, FALSE)</f>
        <v>Marketing</v>
      </c>
      <c r="H394" s="6" t="s">
        <v>66</v>
      </c>
      <c r="I394" s="7">
        <v>1232.71</v>
      </c>
      <c r="J394" s="18" t="b">
        <f>IF(tblFactFinance[[#This Row],[MonthStart]] &lt;= Inputs!$B$1, TRUE, FALSE)</f>
        <v>1</v>
      </c>
    </row>
    <row r="395" spans="1:10" x14ac:dyDescent="0.3">
      <c r="A395" s="15">
        <v>45778</v>
      </c>
      <c r="B395" s="17" t="s">
        <v>58</v>
      </c>
      <c r="C395" s="3" t="s">
        <v>5</v>
      </c>
      <c r="D395" s="3" t="str">
        <f>VLOOKUP(C395, Ref_Department!$A$2:$D$6, 2, FALSE)</f>
        <v>Human Resources</v>
      </c>
      <c r="E395" s="3" t="s">
        <v>9</v>
      </c>
      <c r="F395" s="3" t="str">
        <f>VLOOKUP(E395, Ref_GLAccount!$A$2:$D$9, 2, FALSE)</f>
        <v>Marketing &amp; Advertising</v>
      </c>
      <c r="G395" s="3" t="str">
        <f>VLOOKUP(E395, Ref_GLAccount!$A$2:$D$9, 3, FALSE)</f>
        <v>Marketing</v>
      </c>
      <c r="H395" s="6" t="s">
        <v>70</v>
      </c>
      <c r="I395" s="7">
        <v>1248</v>
      </c>
      <c r="J395" s="18" t="b">
        <f>IF(tblFactFinance[[#This Row],[MonthStart]] &lt;= Inputs!$B$1, TRUE, FALSE)</f>
        <v>1</v>
      </c>
    </row>
    <row r="396" spans="1:10" x14ac:dyDescent="0.3">
      <c r="A396" s="15">
        <v>45778</v>
      </c>
      <c r="B396" s="17" t="s">
        <v>58</v>
      </c>
      <c r="C396" s="3" t="s">
        <v>5</v>
      </c>
      <c r="D396" s="3" t="str">
        <f>VLOOKUP(C396, Ref_Department!$A$2:$D$6, 2, FALSE)</f>
        <v>Human Resources</v>
      </c>
      <c r="E396" s="3" t="s">
        <v>10</v>
      </c>
      <c r="F396" s="3" t="str">
        <f>VLOOKUP(E396, Ref_GLAccount!$A$2:$D$9, 2, FALSE)</f>
        <v>Professional Services</v>
      </c>
      <c r="G396" s="3" t="str">
        <f>VLOOKUP(E396, Ref_GLAccount!$A$2:$D$9, 3, FALSE)</f>
        <v>Professional Services</v>
      </c>
      <c r="H396" s="6" t="s">
        <v>66</v>
      </c>
      <c r="I396" s="7">
        <v>3625.41</v>
      </c>
      <c r="J396" s="18" t="b">
        <f>IF(tblFactFinance[[#This Row],[MonthStart]] &lt;= Inputs!$B$1, TRUE, FALSE)</f>
        <v>1</v>
      </c>
    </row>
    <row r="397" spans="1:10" x14ac:dyDescent="0.3">
      <c r="A397" s="15">
        <v>45778</v>
      </c>
      <c r="B397" s="17" t="s">
        <v>58</v>
      </c>
      <c r="C397" s="3" t="s">
        <v>5</v>
      </c>
      <c r="D397" s="3" t="str">
        <f>VLOOKUP(C397, Ref_Department!$A$2:$D$6, 2, FALSE)</f>
        <v>Human Resources</v>
      </c>
      <c r="E397" s="3" t="s">
        <v>10</v>
      </c>
      <c r="F397" s="3" t="str">
        <f>VLOOKUP(E397, Ref_GLAccount!$A$2:$D$9, 2, FALSE)</f>
        <v>Professional Services</v>
      </c>
      <c r="G397" s="3" t="str">
        <f>VLOOKUP(E397, Ref_GLAccount!$A$2:$D$9, 3, FALSE)</f>
        <v>Professional Services</v>
      </c>
      <c r="H397" s="6" t="s">
        <v>70</v>
      </c>
      <c r="I397" s="7">
        <v>3640</v>
      </c>
      <c r="J397" s="18" t="b">
        <f>IF(tblFactFinance[[#This Row],[MonthStart]] &lt;= Inputs!$B$1, TRUE, FALSE)</f>
        <v>1</v>
      </c>
    </row>
    <row r="398" spans="1:10" x14ac:dyDescent="0.3">
      <c r="A398" s="15">
        <v>45778</v>
      </c>
      <c r="B398" s="17" t="s">
        <v>58</v>
      </c>
      <c r="C398" s="3" t="s">
        <v>5</v>
      </c>
      <c r="D398" s="3" t="str">
        <f>VLOOKUP(C398, Ref_Department!$A$2:$D$6, 2, FALSE)</f>
        <v>Human Resources</v>
      </c>
      <c r="E398" s="3" t="s">
        <v>11</v>
      </c>
      <c r="F398" s="3" t="str">
        <f>VLOOKUP(E398, Ref_GLAccount!$A$2:$D$9, 2, FALSE)</f>
        <v>Office Supplies</v>
      </c>
      <c r="G398" s="3" t="str">
        <f>VLOOKUP(E398, Ref_GLAccount!$A$2:$D$9, 3, FALSE)</f>
        <v>Other OPEX</v>
      </c>
      <c r="H398" s="6" t="s">
        <v>66</v>
      </c>
      <c r="I398" s="7">
        <v>671.46</v>
      </c>
      <c r="J398" s="18" t="b">
        <f>IF(tblFactFinance[[#This Row],[MonthStart]] &lt;= Inputs!$B$1, TRUE, FALSE)</f>
        <v>1</v>
      </c>
    </row>
    <row r="399" spans="1:10" x14ac:dyDescent="0.3">
      <c r="A399" s="15">
        <v>45778</v>
      </c>
      <c r="B399" s="17" t="s">
        <v>58</v>
      </c>
      <c r="C399" s="3" t="s">
        <v>5</v>
      </c>
      <c r="D399" s="3" t="str">
        <f>VLOOKUP(C399, Ref_Department!$A$2:$D$6, 2, FALSE)</f>
        <v>Human Resources</v>
      </c>
      <c r="E399" s="3" t="s">
        <v>11</v>
      </c>
      <c r="F399" s="3" t="str">
        <f>VLOOKUP(E399, Ref_GLAccount!$A$2:$D$9, 2, FALSE)</f>
        <v>Office Supplies</v>
      </c>
      <c r="G399" s="3" t="str">
        <f>VLOOKUP(E399, Ref_GLAccount!$A$2:$D$9, 3, FALSE)</f>
        <v>Other OPEX</v>
      </c>
      <c r="H399" s="6" t="s">
        <v>70</v>
      </c>
      <c r="I399" s="7">
        <v>624</v>
      </c>
      <c r="J399" s="18" t="b">
        <f>IF(tblFactFinance[[#This Row],[MonthStart]] &lt;= Inputs!$B$1, TRUE, FALSE)</f>
        <v>1</v>
      </c>
    </row>
    <row r="400" spans="1:10" x14ac:dyDescent="0.3">
      <c r="A400" s="15">
        <v>45778</v>
      </c>
      <c r="B400" s="17" t="s">
        <v>58</v>
      </c>
      <c r="C400" s="3" t="s">
        <v>5</v>
      </c>
      <c r="D400" s="3" t="str">
        <f>VLOOKUP(C400, Ref_Department!$A$2:$D$6, 2, FALSE)</f>
        <v>Human Resources</v>
      </c>
      <c r="E400" s="3" t="s">
        <v>12</v>
      </c>
      <c r="F400" s="3" t="str">
        <f>VLOOKUP(E400, Ref_GLAccount!$A$2:$D$9, 2, FALSE)</f>
        <v>Training &amp; Development</v>
      </c>
      <c r="G400" s="3" t="str">
        <f>VLOOKUP(E400, Ref_GLAccount!$A$2:$D$9, 3, FALSE)</f>
        <v>Other OPEX</v>
      </c>
      <c r="H400" s="6" t="s">
        <v>66</v>
      </c>
      <c r="I400" s="7">
        <v>1663.43</v>
      </c>
      <c r="J400" s="18" t="b">
        <f>IF(tblFactFinance[[#This Row],[MonthStart]] &lt;= Inputs!$B$1, TRUE, FALSE)</f>
        <v>1</v>
      </c>
    </row>
    <row r="401" spans="1:10" x14ac:dyDescent="0.3">
      <c r="A401" s="15">
        <v>45778</v>
      </c>
      <c r="B401" s="17" t="s">
        <v>58</v>
      </c>
      <c r="C401" s="3" t="s">
        <v>5</v>
      </c>
      <c r="D401" s="3" t="str">
        <f>VLOOKUP(C401, Ref_Department!$A$2:$D$6, 2, FALSE)</f>
        <v>Human Resources</v>
      </c>
      <c r="E401" s="3" t="s">
        <v>12</v>
      </c>
      <c r="F401" s="3" t="str">
        <f>VLOOKUP(E401, Ref_GLAccount!$A$2:$D$9, 2, FALSE)</f>
        <v>Training &amp; Development</v>
      </c>
      <c r="G401" s="3" t="str">
        <f>VLOOKUP(E401, Ref_GLAccount!$A$2:$D$9, 3, FALSE)</f>
        <v>Other OPEX</v>
      </c>
      <c r="H401" s="6" t="s">
        <v>70</v>
      </c>
      <c r="I401" s="7">
        <v>1664</v>
      </c>
      <c r="J401" s="18" t="b">
        <f>IF(tblFactFinance[[#This Row],[MonthStart]] &lt;= Inputs!$B$1, TRUE, FALSE)</f>
        <v>1</v>
      </c>
    </row>
    <row r="402" spans="1:10" x14ac:dyDescent="0.3">
      <c r="A402" s="15">
        <v>45809</v>
      </c>
      <c r="B402" s="17" t="s">
        <v>59</v>
      </c>
      <c r="C402" s="3" t="s">
        <v>1</v>
      </c>
      <c r="D402" s="3" t="str">
        <f>VLOOKUP(C402, Ref_Department!$A$2:$D$6, 2, FALSE)</f>
        <v>Branch Operations</v>
      </c>
      <c r="E402" s="3" t="s">
        <v>33</v>
      </c>
      <c r="F402" s="3" t="str">
        <f>VLOOKUP(E402, Ref_GLAccount!$A$2:$D$9, 2, FALSE)</f>
        <v>Salaries</v>
      </c>
      <c r="G402" s="3" t="str">
        <f>VLOOKUP(E402, Ref_GLAccount!$A$2:$D$9, 3, FALSE)</f>
        <v>Personnel</v>
      </c>
      <c r="H402" s="6" t="s">
        <v>66</v>
      </c>
      <c r="I402" s="7">
        <v>218853.74</v>
      </c>
      <c r="J402" s="18" t="b">
        <f>IF(tblFactFinance[[#This Row],[MonthStart]] &lt;= Inputs!$B$1, TRUE, FALSE)</f>
        <v>1</v>
      </c>
    </row>
    <row r="403" spans="1:10" x14ac:dyDescent="0.3">
      <c r="A403" s="15">
        <v>45809</v>
      </c>
      <c r="B403" s="17" t="s">
        <v>59</v>
      </c>
      <c r="C403" s="3" t="s">
        <v>1</v>
      </c>
      <c r="D403" s="3" t="str">
        <f>VLOOKUP(C403, Ref_Department!$A$2:$D$6, 2, FALSE)</f>
        <v>Branch Operations</v>
      </c>
      <c r="E403" s="3" t="s">
        <v>33</v>
      </c>
      <c r="F403" s="3" t="str">
        <f>VLOOKUP(E403, Ref_GLAccount!$A$2:$D$9, 2, FALSE)</f>
        <v>Salaries</v>
      </c>
      <c r="G403" s="3" t="str">
        <f>VLOOKUP(E403, Ref_GLAccount!$A$2:$D$9, 3, FALSE)</f>
        <v>Personnel</v>
      </c>
      <c r="H403" s="6" t="s">
        <v>70</v>
      </c>
      <c r="I403" s="7">
        <v>200850</v>
      </c>
      <c r="J403" s="18" t="b">
        <f>IF(tblFactFinance[[#This Row],[MonthStart]] &lt;= Inputs!$B$1, TRUE, FALSE)</f>
        <v>1</v>
      </c>
    </row>
    <row r="404" spans="1:10" x14ac:dyDescent="0.3">
      <c r="A404" s="15">
        <v>45809</v>
      </c>
      <c r="B404" s="17" t="s">
        <v>59</v>
      </c>
      <c r="C404" s="3" t="s">
        <v>1</v>
      </c>
      <c r="D404" s="3" t="str">
        <f>VLOOKUP(C404, Ref_Department!$A$2:$D$6, 2, FALSE)</f>
        <v>Branch Operations</v>
      </c>
      <c r="E404" s="3" t="s">
        <v>37</v>
      </c>
      <c r="F404" s="3" t="str">
        <f>VLOOKUP(E404, Ref_GLAccount!$A$2:$D$9, 2, FALSE)</f>
        <v>Benefits</v>
      </c>
      <c r="G404" s="3" t="str">
        <f>VLOOKUP(E404, Ref_GLAccount!$A$2:$D$9, 3, FALSE)</f>
        <v>Personnel</v>
      </c>
      <c r="H404" s="6" t="s">
        <v>66</v>
      </c>
      <c r="I404" s="7">
        <v>43405.51</v>
      </c>
      <c r="J404" s="18" t="b">
        <f>IF(tblFactFinance[[#This Row],[MonthStart]] &lt;= Inputs!$B$1, TRUE, FALSE)</f>
        <v>1</v>
      </c>
    </row>
    <row r="405" spans="1:10" x14ac:dyDescent="0.3">
      <c r="A405" s="15">
        <v>45809</v>
      </c>
      <c r="B405" s="17" t="s">
        <v>59</v>
      </c>
      <c r="C405" s="3" t="s">
        <v>1</v>
      </c>
      <c r="D405" s="3" t="str">
        <f>VLOOKUP(C405, Ref_Department!$A$2:$D$6, 2, FALSE)</f>
        <v>Branch Operations</v>
      </c>
      <c r="E405" s="3" t="s">
        <v>37</v>
      </c>
      <c r="F405" s="3" t="str">
        <f>VLOOKUP(E405, Ref_GLAccount!$A$2:$D$9, 2, FALSE)</f>
        <v>Benefits</v>
      </c>
      <c r="G405" s="3" t="str">
        <f>VLOOKUP(E405, Ref_GLAccount!$A$2:$D$9, 3, FALSE)</f>
        <v>Personnel</v>
      </c>
      <c r="H405" s="6" t="s">
        <v>70</v>
      </c>
      <c r="I405" s="7">
        <v>44187</v>
      </c>
      <c r="J405" s="18" t="b">
        <f>IF(tblFactFinance[[#This Row],[MonthStart]] &lt;= Inputs!$B$1, TRUE, FALSE)</f>
        <v>1</v>
      </c>
    </row>
    <row r="406" spans="1:10" x14ac:dyDescent="0.3">
      <c r="A406" s="15">
        <v>45809</v>
      </c>
      <c r="B406" s="17" t="s">
        <v>59</v>
      </c>
      <c r="C406" s="3" t="s">
        <v>1</v>
      </c>
      <c r="D406" s="3" t="str">
        <f>VLOOKUP(C406, Ref_Department!$A$2:$D$6, 2, FALSE)</f>
        <v>Branch Operations</v>
      </c>
      <c r="E406" s="3" t="s">
        <v>7</v>
      </c>
      <c r="F406" s="3" t="str">
        <f>VLOOKUP(E406, Ref_GLAccount!$A$2:$D$9, 2, FALSE)</f>
        <v>Occupancy &amp; Facilities</v>
      </c>
      <c r="G406" s="3" t="str">
        <f>VLOOKUP(E406, Ref_GLAccount!$A$2:$D$9, 3, FALSE)</f>
        <v>Facilities</v>
      </c>
      <c r="H406" s="6" t="s">
        <v>66</v>
      </c>
      <c r="I406" s="7">
        <v>38532.78</v>
      </c>
      <c r="J406" s="18" t="b">
        <f>IF(tblFactFinance[[#This Row],[MonthStart]] &lt;= Inputs!$B$1, TRUE, FALSE)</f>
        <v>1</v>
      </c>
    </row>
    <row r="407" spans="1:10" x14ac:dyDescent="0.3">
      <c r="A407" s="15">
        <v>45809</v>
      </c>
      <c r="B407" s="17" t="s">
        <v>59</v>
      </c>
      <c r="C407" s="3" t="s">
        <v>1</v>
      </c>
      <c r="D407" s="3" t="str">
        <f>VLOOKUP(C407, Ref_Department!$A$2:$D$6, 2, FALSE)</f>
        <v>Branch Operations</v>
      </c>
      <c r="E407" s="3" t="s">
        <v>7</v>
      </c>
      <c r="F407" s="3" t="str">
        <f>VLOOKUP(E407, Ref_GLAccount!$A$2:$D$9, 2, FALSE)</f>
        <v>Occupancy &amp; Facilities</v>
      </c>
      <c r="G407" s="3" t="str">
        <f>VLOOKUP(E407, Ref_GLAccount!$A$2:$D$9, 3, FALSE)</f>
        <v>Facilities</v>
      </c>
      <c r="H407" s="6" t="s">
        <v>70</v>
      </c>
      <c r="I407" s="7">
        <v>38000</v>
      </c>
      <c r="J407" s="18" t="b">
        <f>IF(tblFactFinance[[#This Row],[MonthStart]] &lt;= Inputs!$B$1, TRUE, FALSE)</f>
        <v>1</v>
      </c>
    </row>
    <row r="408" spans="1:10" x14ac:dyDescent="0.3">
      <c r="A408" s="15">
        <v>45809</v>
      </c>
      <c r="B408" s="17" t="s">
        <v>59</v>
      </c>
      <c r="C408" s="3" t="s">
        <v>1</v>
      </c>
      <c r="D408" s="3" t="str">
        <f>VLOOKUP(C408, Ref_Department!$A$2:$D$6, 2, FALSE)</f>
        <v>Branch Operations</v>
      </c>
      <c r="E408" s="3" t="s">
        <v>8</v>
      </c>
      <c r="F408" s="3" t="str">
        <f>VLOOKUP(E408, Ref_GLAccount!$A$2:$D$9, 2, FALSE)</f>
        <v>IT Software &amp; Subscriptions</v>
      </c>
      <c r="G408" s="3" t="str">
        <f>VLOOKUP(E408, Ref_GLAccount!$A$2:$D$9, 3, FALSE)</f>
        <v>IT</v>
      </c>
      <c r="H408" s="6" t="s">
        <v>66</v>
      </c>
      <c r="I408" s="7">
        <v>12234.97</v>
      </c>
      <c r="J408" s="18" t="b">
        <f>IF(tblFactFinance[[#This Row],[MonthStart]] &lt;= Inputs!$B$1, TRUE, FALSE)</f>
        <v>1</v>
      </c>
    </row>
    <row r="409" spans="1:10" x14ac:dyDescent="0.3">
      <c r="A409" s="15">
        <v>45809</v>
      </c>
      <c r="B409" s="17" t="s">
        <v>59</v>
      </c>
      <c r="C409" s="3" t="s">
        <v>1</v>
      </c>
      <c r="D409" s="3" t="str">
        <f>VLOOKUP(C409, Ref_Department!$A$2:$D$6, 2, FALSE)</f>
        <v>Branch Operations</v>
      </c>
      <c r="E409" s="3" t="s">
        <v>8</v>
      </c>
      <c r="F409" s="3" t="str">
        <f>VLOOKUP(E409, Ref_GLAccount!$A$2:$D$9, 2, FALSE)</f>
        <v>IT Software &amp; Subscriptions</v>
      </c>
      <c r="G409" s="3" t="str">
        <f>VLOOKUP(E409, Ref_GLAccount!$A$2:$D$9, 3, FALSE)</f>
        <v>IT</v>
      </c>
      <c r="H409" s="6" t="s">
        <v>70</v>
      </c>
      <c r="I409" s="7">
        <v>12480</v>
      </c>
      <c r="J409" s="18" t="b">
        <f>IF(tblFactFinance[[#This Row],[MonthStart]] &lt;= Inputs!$B$1, TRUE, FALSE)</f>
        <v>1</v>
      </c>
    </row>
    <row r="410" spans="1:10" x14ac:dyDescent="0.3">
      <c r="A410" s="15">
        <v>45809</v>
      </c>
      <c r="B410" s="17" t="s">
        <v>59</v>
      </c>
      <c r="C410" s="3" t="s">
        <v>1</v>
      </c>
      <c r="D410" s="3" t="str">
        <f>VLOOKUP(C410, Ref_Department!$A$2:$D$6, 2, FALSE)</f>
        <v>Branch Operations</v>
      </c>
      <c r="E410" s="3" t="s">
        <v>9</v>
      </c>
      <c r="F410" s="3" t="str">
        <f>VLOOKUP(E410, Ref_GLAccount!$A$2:$D$9, 2, FALSE)</f>
        <v>Marketing &amp; Advertising</v>
      </c>
      <c r="G410" s="3" t="str">
        <f>VLOOKUP(E410, Ref_GLAccount!$A$2:$D$9, 3, FALSE)</f>
        <v>Marketing</v>
      </c>
      <c r="H410" s="6" t="s">
        <v>66</v>
      </c>
      <c r="I410" s="7">
        <v>4045.07</v>
      </c>
      <c r="J410" s="18" t="b">
        <f>IF(tblFactFinance[[#This Row],[MonthStart]] &lt;= Inputs!$B$1, TRUE, FALSE)</f>
        <v>1</v>
      </c>
    </row>
    <row r="411" spans="1:10" x14ac:dyDescent="0.3">
      <c r="A411" s="15">
        <v>45809</v>
      </c>
      <c r="B411" s="17" t="s">
        <v>59</v>
      </c>
      <c r="C411" s="3" t="s">
        <v>1</v>
      </c>
      <c r="D411" s="3" t="str">
        <f>VLOOKUP(C411, Ref_Department!$A$2:$D$6, 2, FALSE)</f>
        <v>Branch Operations</v>
      </c>
      <c r="E411" s="3" t="s">
        <v>9</v>
      </c>
      <c r="F411" s="3" t="str">
        <f>VLOOKUP(E411, Ref_GLAccount!$A$2:$D$9, 2, FALSE)</f>
        <v>Marketing &amp; Advertising</v>
      </c>
      <c r="G411" s="3" t="str">
        <f>VLOOKUP(E411, Ref_GLAccount!$A$2:$D$9, 3, FALSE)</f>
        <v>Marketing</v>
      </c>
      <c r="H411" s="6" t="s">
        <v>70</v>
      </c>
      <c r="I411" s="7">
        <v>4160</v>
      </c>
      <c r="J411" s="18" t="b">
        <f>IF(tblFactFinance[[#This Row],[MonthStart]] &lt;= Inputs!$B$1, TRUE, FALSE)</f>
        <v>1</v>
      </c>
    </row>
    <row r="412" spans="1:10" x14ac:dyDescent="0.3">
      <c r="A412" s="15">
        <v>45809</v>
      </c>
      <c r="B412" s="17" t="s">
        <v>59</v>
      </c>
      <c r="C412" s="3" t="s">
        <v>1</v>
      </c>
      <c r="D412" s="3" t="str">
        <f>VLOOKUP(C412, Ref_Department!$A$2:$D$6, 2, FALSE)</f>
        <v>Branch Operations</v>
      </c>
      <c r="E412" s="3" t="s">
        <v>10</v>
      </c>
      <c r="F412" s="3" t="str">
        <f>VLOOKUP(E412, Ref_GLAccount!$A$2:$D$9, 2, FALSE)</f>
        <v>Professional Services</v>
      </c>
      <c r="G412" s="3" t="str">
        <f>VLOOKUP(E412, Ref_GLAccount!$A$2:$D$9, 3, FALSE)</f>
        <v>Professional Services</v>
      </c>
      <c r="H412" s="6" t="s">
        <v>66</v>
      </c>
      <c r="I412" s="7">
        <v>5213</v>
      </c>
      <c r="J412" s="18" t="b">
        <f>IF(tblFactFinance[[#This Row],[MonthStart]] &lt;= Inputs!$B$1, TRUE, FALSE)</f>
        <v>1</v>
      </c>
    </row>
    <row r="413" spans="1:10" x14ac:dyDescent="0.3">
      <c r="A413" s="15">
        <v>45809</v>
      </c>
      <c r="B413" s="17" t="s">
        <v>59</v>
      </c>
      <c r="C413" s="3" t="s">
        <v>1</v>
      </c>
      <c r="D413" s="3" t="str">
        <f>VLOOKUP(C413, Ref_Department!$A$2:$D$6, 2, FALSE)</f>
        <v>Branch Operations</v>
      </c>
      <c r="E413" s="3" t="s">
        <v>10</v>
      </c>
      <c r="F413" s="3" t="str">
        <f>VLOOKUP(E413, Ref_GLAccount!$A$2:$D$9, 2, FALSE)</f>
        <v>Professional Services</v>
      </c>
      <c r="G413" s="3" t="str">
        <f>VLOOKUP(E413, Ref_GLAccount!$A$2:$D$9, 3, FALSE)</f>
        <v>Professional Services</v>
      </c>
      <c r="H413" s="6" t="s">
        <v>70</v>
      </c>
      <c r="I413" s="7">
        <v>5200</v>
      </c>
      <c r="J413" s="18" t="b">
        <f>IF(tblFactFinance[[#This Row],[MonthStart]] &lt;= Inputs!$B$1, TRUE, FALSE)</f>
        <v>1</v>
      </c>
    </row>
    <row r="414" spans="1:10" x14ac:dyDescent="0.3">
      <c r="A414" s="15">
        <v>45809</v>
      </c>
      <c r="B414" s="17" t="s">
        <v>59</v>
      </c>
      <c r="C414" s="3" t="s">
        <v>1</v>
      </c>
      <c r="D414" s="3" t="str">
        <f>VLOOKUP(C414, Ref_Department!$A$2:$D$6, 2, FALSE)</f>
        <v>Branch Operations</v>
      </c>
      <c r="E414" s="3" t="s">
        <v>11</v>
      </c>
      <c r="F414" s="3" t="str">
        <f>VLOOKUP(E414, Ref_GLAccount!$A$2:$D$9, 2, FALSE)</f>
        <v>Office Supplies</v>
      </c>
      <c r="G414" s="3" t="str">
        <f>VLOOKUP(E414, Ref_GLAccount!$A$2:$D$9, 3, FALSE)</f>
        <v>Other OPEX</v>
      </c>
      <c r="H414" s="6" t="s">
        <v>66</v>
      </c>
      <c r="I414" s="7">
        <v>1542.37</v>
      </c>
      <c r="J414" s="18" t="b">
        <f>IF(tblFactFinance[[#This Row],[MonthStart]] &lt;= Inputs!$B$1, TRUE, FALSE)</f>
        <v>1</v>
      </c>
    </row>
    <row r="415" spans="1:10" x14ac:dyDescent="0.3">
      <c r="A415" s="15">
        <v>45809</v>
      </c>
      <c r="B415" s="17" t="s">
        <v>59</v>
      </c>
      <c r="C415" s="3" t="s">
        <v>1</v>
      </c>
      <c r="D415" s="3" t="str">
        <f>VLOOKUP(C415, Ref_Department!$A$2:$D$6, 2, FALSE)</f>
        <v>Branch Operations</v>
      </c>
      <c r="E415" s="3" t="s">
        <v>11</v>
      </c>
      <c r="F415" s="3" t="str">
        <f>VLOOKUP(E415, Ref_GLAccount!$A$2:$D$9, 2, FALSE)</f>
        <v>Office Supplies</v>
      </c>
      <c r="G415" s="3" t="str">
        <f>VLOOKUP(E415, Ref_GLAccount!$A$2:$D$9, 3, FALSE)</f>
        <v>Other OPEX</v>
      </c>
      <c r="H415" s="6" t="s">
        <v>70</v>
      </c>
      <c r="I415" s="7">
        <v>1560</v>
      </c>
      <c r="J415" s="18" t="b">
        <f>IF(tblFactFinance[[#This Row],[MonthStart]] &lt;= Inputs!$B$1, TRUE, FALSE)</f>
        <v>1</v>
      </c>
    </row>
    <row r="416" spans="1:10" x14ac:dyDescent="0.3">
      <c r="A416" s="15">
        <v>45809</v>
      </c>
      <c r="B416" s="17" t="s">
        <v>59</v>
      </c>
      <c r="C416" s="3" t="s">
        <v>1</v>
      </c>
      <c r="D416" s="3" t="str">
        <f>VLOOKUP(C416, Ref_Department!$A$2:$D$6, 2, FALSE)</f>
        <v>Branch Operations</v>
      </c>
      <c r="E416" s="3" t="s">
        <v>12</v>
      </c>
      <c r="F416" s="3" t="str">
        <f>VLOOKUP(E416, Ref_GLAccount!$A$2:$D$9, 2, FALSE)</f>
        <v>Training &amp; Development</v>
      </c>
      <c r="G416" s="3" t="str">
        <f>VLOOKUP(E416, Ref_GLAccount!$A$2:$D$9, 3, FALSE)</f>
        <v>Other OPEX</v>
      </c>
      <c r="H416" s="6" t="s">
        <v>66</v>
      </c>
      <c r="I416" s="7">
        <v>1258.1099999999999</v>
      </c>
      <c r="J416" s="18" t="b">
        <f>IF(tblFactFinance[[#This Row],[MonthStart]] &lt;= Inputs!$B$1, TRUE, FALSE)</f>
        <v>1</v>
      </c>
    </row>
    <row r="417" spans="1:10" x14ac:dyDescent="0.3">
      <c r="A417" s="15">
        <v>45809</v>
      </c>
      <c r="B417" s="17" t="s">
        <v>59</v>
      </c>
      <c r="C417" s="3" t="s">
        <v>1</v>
      </c>
      <c r="D417" s="3" t="str">
        <f>VLOOKUP(C417, Ref_Department!$A$2:$D$6, 2, FALSE)</f>
        <v>Branch Operations</v>
      </c>
      <c r="E417" s="3" t="s">
        <v>12</v>
      </c>
      <c r="F417" s="3" t="str">
        <f>VLOOKUP(E417, Ref_GLAccount!$A$2:$D$9, 2, FALSE)</f>
        <v>Training &amp; Development</v>
      </c>
      <c r="G417" s="3" t="str">
        <f>VLOOKUP(E417, Ref_GLAccount!$A$2:$D$9, 3, FALSE)</f>
        <v>Other OPEX</v>
      </c>
      <c r="H417" s="6" t="s">
        <v>70</v>
      </c>
      <c r="I417" s="7">
        <v>1248</v>
      </c>
      <c r="J417" s="18" t="b">
        <f>IF(tblFactFinance[[#This Row],[MonthStart]] &lt;= Inputs!$B$1, TRUE, FALSE)</f>
        <v>1</v>
      </c>
    </row>
    <row r="418" spans="1:10" x14ac:dyDescent="0.3">
      <c r="A418" s="15">
        <v>45809</v>
      </c>
      <c r="B418" s="17" t="s">
        <v>59</v>
      </c>
      <c r="C418" s="3" t="s">
        <v>2</v>
      </c>
      <c r="D418" s="3" t="str">
        <f>VLOOKUP(C418, Ref_Department!$A$2:$D$6, 2, FALSE)</f>
        <v>Lending</v>
      </c>
      <c r="E418" s="3" t="s">
        <v>33</v>
      </c>
      <c r="F418" s="3" t="str">
        <f>VLOOKUP(E418, Ref_GLAccount!$A$2:$D$9, 2, FALSE)</f>
        <v>Salaries</v>
      </c>
      <c r="G418" s="3" t="str">
        <f>VLOOKUP(E418, Ref_GLAccount!$A$2:$D$9, 3, FALSE)</f>
        <v>Personnel</v>
      </c>
      <c r="H418" s="6" t="s">
        <v>66</v>
      </c>
      <c r="I418" s="7">
        <v>158469.84</v>
      </c>
      <c r="J418" s="18" t="b">
        <f>IF(tblFactFinance[[#This Row],[MonthStart]] &lt;= Inputs!$B$1, TRUE, FALSE)</f>
        <v>1</v>
      </c>
    </row>
    <row r="419" spans="1:10" x14ac:dyDescent="0.3">
      <c r="A419" s="15">
        <v>45809</v>
      </c>
      <c r="B419" s="17" t="s">
        <v>59</v>
      </c>
      <c r="C419" s="3" t="s">
        <v>2</v>
      </c>
      <c r="D419" s="3" t="str">
        <f>VLOOKUP(C419, Ref_Department!$A$2:$D$6, 2, FALSE)</f>
        <v>Lending</v>
      </c>
      <c r="E419" s="3" t="s">
        <v>33</v>
      </c>
      <c r="F419" s="3" t="str">
        <f>VLOOKUP(E419, Ref_GLAccount!$A$2:$D$9, 2, FALSE)</f>
        <v>Salaries</v>
      </c>
      <c r="G419" s="3" t="str">
        <f>VLOOKUP(E419, Ref_GLAccount!$A$2:$D$9, 3, FALSE)</f>
        <v>Personnel</v>
      </c>
      <c r="H419" s="6" t="s">
        <v>70</v>
      </c>
      <c r="I419" s="7">
        <v>173040</v>
      </c>
      <c r="J419" s="18" t="b">
        <f>IF(tblFactFinance[[#This Row],[MonthStart]] &lt;= Inputs!$B$1, TRUE, FALSE)</f>
        <v>1</v>
      </c>
    </row>
    <row r="420" spans="1:10" x14ac:dyDescent="0.3">
      <c r="A420" s="15">
        <v>45809</v>
      </c>
      <c r="B420" s="17" t="s">
        <v>59</v>
      </c>
      <c r="C420" s="3" t="s">
        <v>2</v>
      </c>
      <c r="D420" s="3" t="str">
        <f>VLOOKUP(C420, Ref_Department!$A$2:$D$6, 2, FALSE)</f>
        <v>Lending</v>
      </c>
      <c r="E420" s="3" t="s">
        <v>37</v>
      </c>
      <c r="F420" s="3" t="str">
        <f>VLOOKUP(E420, Ref_GLAccount!$A$2:$D$9, 2, FALSE)</f>
        <v>Benefits</v>
      </c>
      <c r="G420" s="3" t="str">
        <f>VLOOKUP(E420, Ref_GLAccount!$A$2:$D$9, 3, FALSE)</f>
        <v>Personnel</v>
      </c>
      <c r="H420" s="6" t="s">
        <v>66</v>
      </c>
      <c r="I420" s="7">
        <v>41118.06</v>
      </c>
      <c r="J420" s="18" t="b">
        <f>IF(tblFactFinance[[#This Row],[MonthStart]] &lt;= Inputs!$B$1, TRUE, FALSE)</f>
        <v>1</v>
      </c>
    </row>
    <row r="421" spans="1:10" x14ac:dyDescent="0.3">
      <c r="A421" s="15">
        <v>45809</v>
      </c>
      <c r="B421" s="17" t="s">
        <v>59</v>
      </c>
      <c r="C421" s="3" t="s">
        <v>2</v>
      </c>
      <c r="D421" s="3" t="str">
        <f>VLOOKUP(C421, Ref_Department!$A$2:$D$6, 2, FALSE)</f>
        <v>Lending</v>
      </c>
      <c r="E421" s="3" t="s">
        <v>37</v>
      </c>
      <c r="F421" s="3" t="str">
        <f>VLOOKUP(E421, Ref_GLAccount!$A$2:$D$9, 2, FALSE)</f>
        <v>Benefits</v>
      </c>
      <c r="G421" s="3" t="str">
        <f>VLOOKUP(E421, Ref_GLAccount!$A$2:$D$9, 3, FALSE)</f>
        <v>Personnel</v>
      </c>
      <c r="H421" s="6" t="s">
        <v>70</v>
      </c>
      <c r="I421" s="7">
        <v>38068.800000000003</v>
      </c>
      <c r="J421" s="18" t="b">
        <f>IF(tblFactFinance[[#This Row],[MonthStart]] &lt;= Inputs!$B$1, TRUE, FALSE)</f>
        <v>1</v>
      </c>
    </row>
    <row r="422" spans="1:10" x14ac:dyDescent="0.3">
      <c r="A422" s="15">
        <v>45809</v>
      </c>
      <c r="B422" s="17" t="s">
        <v>59</v>
      </c>
      <c r="C422" s="3" t="s">
        <v>2</v>
      </c>
      <c r="D422" s="3" t="str">
        <f>VLOOKUP(C422, Ref_Department!$A$2:$D$6, 2, FALSE)</f>
        <v>Lending</v>
      </c>
      <c r="E422" s="3" t="s">
        <v>7</v>
      </c>
      <c r="F422" s="3" t="str">
        <f>VLOOKUP(E422, Ref_GLAccount!$A$2:$D$9, 2, FALSE)</f>
        <v>Occupancy &amp; Facilities</v>
      </c>
      <c r="G422" s="3" t="str">
        <f>VLOOKUP(E422, Ref_GLAccount!$A$2:$D$9, 3, FALSE)</f>
        <v>Facilities</v>
      </c>
      <c r="H422" s="6" t="s">
        <v>66</v>
      </c>
      <c r="I422" s="7">
        <v>15893.12</v>
      </c>
      <c r="J422" s="18" t="b">
        <f>IF(tblFactFinance[[#This Row],[MonthStart]] &lt;= Inputs!$B$1, TRUE, FALSE)</f>
        <v>1</v>
      </c>
    </row>
    <row r="423" spans="1:10" x14ac:dyDescent="0.3">
      <c r="A423" s="15">
        <v>45809</v>
      </c>
      <c r="B423" s="17" t="s">
        <v>59</v>
      </c>
      <c r="C423" s="3" t="s">
        <v>2</v>
      </c>
      <c r="D423" s="3" t="str">
        <f>VLOOKUP(C423, Ref_Department!$A$2:$D$6, 2, FALSE)</f>
        <v>Lending</v>
      </c>
      <c r="E423" s="3" t="s">
        <v>7</v>
      </c>
      <c r="F423" s="3" t="str">
        <f>VLOOKUP(E423, Ref_GLAccount!$A$2:$D$9, 2, FALSE)</f>
        <v>Occupancy &amp; Facilities</v>
      </c>
      <c r="G423" s="3" t="str">
        <f>VLOOKUP(E423, Ref_GLAccount!$A$2:$D$9, 3, FALSE)</f>
        <v>Facilities</v>
      </c>
      <c r="H423" s="6" t="s">
        <v>70</v>
      </c>
      <c r="I423" s="7">
        <v>16000</v>
      </c>
      <c r="J423" s="18" t="b">
        <f>IF(tblFactFinance[[#This Row],[MonthStart]] &lt;= Inputs!$B$1, TRUE, FALSE)</f>
        <v>1</v>
      </c>
    </row>
    <row r="424" spans="1:10" x14ac:dyDescent="0.3">
      <c r="A424" s="15">
        <v>45809</v>
      </c>
      <c r="B424" s="17" t="s">
        <v>59</v>
      </c>
      <c r="C424" s="3" t="s">
        <v>2</v>
      </c>
      <c r="D424" s="3" t="str">
        <f>VLOOKUP(C424, Ref_Department!$A$2:$D$6, 2, FALSE)</f>
        <v>Lending</v>
      </c>
      <c r="E424" s="3" t="s">
        <v>8</v>
      </c>
      <c r="F424" s="3" t="str">
        <f>VLOOKUP(E424, Ref_GLAccount!$A$2:$D$9, 2, FALSE)</f>
        <v>IT Software &amp; Subscriptions</v>
      </c>
      <c r="G424" s="3" t="str">
        <f>VLOOKUP(E424, Ref_GLAccount!$A$2:$D$9, 3, FALSE)</f>
        <v>IT</v>
      </c>
      <c r="H424" s="6" t="s">
        <v>66</v>
      </c>
      <c r="I424" s="7">
        <v>10012.540000000001</v>
      </c>
      <c r="J424" s="18" t="b">
        <f>IF(tblFactFinance[[#This Row],[MonthStart]] &lt;= Inputs!$B$1, TRUE, FALSE)</f>
        <v>1</v>
      </c>
    </row>
    <row r="425" spans="1:10" x14ac:dyDescent="0.3">
      <c r="A425" s="15">
        <v>45809</v>
      </c>
      <c r="B425" s="17" t="s">
        <v>59</v>
      </c>
      <c r="C425" s="3" t="s">
        <v>2</v>
      </c>
      <c r="D425" s="3" t="str">
        <f>VLOOKUP(C425, Ref_Department!$A$2:$D$6, 2, FALSE)</f>
        <v>Lending</v>
      </c>
      <c r="E425" s="3" t="s">
        <v>8</v>
      </c>
      <c r="F425" s="3" t="str">
        <f>VLOOKUP(E425, Ref_GLAccount!$A$2:$D$9, 2, FALSE)</f>
        <v>IT Software &amp; Subscriptions</v>
      </c>
      <c r="G425" s="3" t="str">
        <f>VLOOKUP(E425, Ref_GLAccount!$A$2:$D$9, 3, FALSE)</f>
        <v>IT</v>
      </c>
      <c r="H425" s="6" t="s">
        <v>70</v>
      </c>
      <c r="I425" s="7">
        <v>9360</v>
      </c>
      <c r="J425" s="18" t="b">
        <f>IF(tblFactFinance[[#This Row],[MonthStart]] &lt;= Inputs!$B$1, TRUE, FALSE)</f>
        <v>1</v>
      </c>
    </row>
    <row r="426" spans="1:10" x14ac:dyDescent="0.3">
      <c r="A426" s="15">
        <v>45809</v>
      </c>
      <c r="B426" s="17" t="s">
        <v>59</v>
      </c>
      <c r="C426" s="3" t="s">
        <v>2</v>
      </c>
      <c r="D426" s="3" t="str">
        <f>VLOOKUP(C426, Ref_Department!$A$2:$D$6, 2, FALSE)</f>
        <v>Lending</v>
      </c>
      <c r="E426" s="3" t="s">
        <v>9</v>
      </c>
      <c r="F426" s="3" t="str">
        <f>VLOOKUP(E426, Ref_GLAccount!$A$2:$D$9, 2, FALSE)</f>
        <v>Marketing &amp; Advertising</v>
      </c>
      <c r="G426" s="3" t="str">
        <f>VLOOKUP(E426, Ref_GLAccount!$A$2:$D$9, 3, FALSE)</f>
        <v>Marketing</v>
      </c>
      <c r="H426" s="6" t="s">
        <v>66</v>
      </c>
      <c r="I426" s="7">
        <v>5988.62</v>
      </c>
      <c r="J426" s="18" t="b">
        <f>IF(tblFactFinance[[#This Row],[MonthStart]] &lt;= Inputs!$B$1, TRUE, FALSE)</f>
        <v>1</v>
      </c>
    </row>
    <row r="427" spans="1:10" x14ac:dyDescent="0.3">
      <c r="A427" s="15">
        <v>45809</v>
      </c>
      <c r="B427" s="17" t="s">
        <v>59</v>
      </c>
      <c r="C427" s="3" t="s">
        <v>2</v>
      </c>
      <c r="D427" s="3" t="str">
        <f>VLOOKUP(C427, Ref_Department!$A$2:$D$6, 2, FALSE)</f>
        <v>Lending</v>
      </c>
      <c r="E427" s="3" t="s">
        <v>9</v>
      </c>
      <c r="F427" s="3" t="str">
        <f>VLOOKUP(E427, Ref_GLAccount!$A$2:$D$9, 2, FALSE)</f>
        <v>Marketing &amp; Advertising</v>
      </c>
      <c r="G427" s="3" t="str">
        <f>VLOOKUP(E427, Ref_GLAccount!$A$2:$D$9, 3, FALSE)</f>
        <v>Marketing</v>
      </c>
      <c r="H427" s="6" t="s">
        <v>70</v>
      </c>
      <c r="I427" s="7">
        <v>6240</v>
      </c>
      <c r="J427" s="18" t="b">
        <f>IF(tblFactFinance[[#This Row],[MonthStart]] &lt;= Inputs!$B$1, TRUE, FALSE)</f>
        <v>1</v>
      </c>
    </row>
    <row r="428" spans="1:10" x14ac:dyDescent="0.3">
      <c r="A428" s="15">
        <v>45809</v>
      </c>
      <c r="B428" s="17" t="s">
        <v>59</v>
      </c>
      <c r="C428" s="3" t="s">
        <v>2</v>
      </c>
      <c r="D428" s="3" t="str">
        <f>VLOOKUP(C428, Ref_Department!$A$2:$D$6, 2, FALSE)</f>
        <v>Lending</v>
      </c>
      <c r="E428" s="3" t="s">
        <v>10</v>
      </c>
      <c r="F428" s="3" t="str">
        <f>VLOOKUP(E428, Ref_GLAccount!$A$2:$D$9, 2, FALSE)</f>
        <v>Professional Services</v>
      </c>
      <c r="G428" s="3" t="str">
        <f>VLOOKUP(E428, Ref_GLAccount!$A$2:$D$9, 3, FALSE)</f>
        <v>Professional Services</v>
      </c>
      <c r="H428" s="6" t="s">
        <v>66</v>
      </c>
      <c r="I428" s="7">
        <v>8417.36</v>
      </c>
      <c r="J428" s="18" t="b">
        <f>IF(tblFactFinance[[#This Row],[MonthStart]] &lt;= Inputs!$B$1, TRUE, FALSE)</f>
        <v>1</v>
      </c>
    </row>
    <row r="429" spans="1:10" x14ac:dyDescent="0.3">
      <c r="A429" s="15">
        <v>45809</v>
      </c>
      <c r="B429" s="17" t="s">
        <v>59</v>
      </c>
      <c r="C429" s="3" t="s">
        <v>2</v>
      </c>
      <c r="D429" s="3" t="str">
        <f>VLOOKUP(C429, Ref_Department!$A$2:$D$6, 2, FALSE)</f>
        <v>Lending</v>
      </c>
      <c r="E429" s="3" t="s">
        <v>10</v>
      </c>
      <c r="F429" s="3" t="str">
        <f>VLOOKUP(E429, Ref_GLAccount!$A$2:$D$9, 2, FALSE)</f>
        <v>Professional Services</v>
      </c>
      <c r="G429" s="3" t="str">
        <f>VLOOKUP(E429, Ref_GLAccount!$A$2:$D$9, 3, FALSE)</f>
        <v>Professional Services</v>
      </c>
      <c r="H429" s="6" t="s">
        <v>70</v>
      </c>
      <c r="I429" s="7">
        <v>8320</v>
      </c>
      <c r="J429" s="18" t="b">
        <f>IF(tblFactFinance[[#This Row],[MonthStart]] &lt;= Inputs!$B$1, TRUE, FALSE)</f>
        <v>1</v>
      </c>
    </row>
    <row r="430" spans="1:10" x14ac:dyDescent="0.3">
      <c r="A430" s="15">
        <v>45809</v>
      </c>
      <c r="B430" s="17" t="s">
        <v>59</v>
      </c>
      <c r="C430" s="3" t="s">
        <v>2</v>
      </c>
      <c r="D430" s="3" t="str">
        <f>VLOOKUP(C430, Ref_Department!$A$2:$D$6, 2, FALSE)</f>
        <v>Lending</v>
      </c>
      <c r="E430" s="3" t="s">
        <v>11</v>
      </c>
      <c r="F430" s="3" t="str">
        <f>VLOOKUP(E430, Ref_GLAccount!$A$2:$D$9, 2, FALSE)</f>
        <v>Office Supplies</v>
      </c>
      <c r="G430" s="3" t="str">
        <f>VLOOKUP(E430, Ref_GLAccount!$A$2:$D$9, 3, FALSE)</f>
        <v>Other OPEX</v>
      </c>
      <c r="H430" s="6" t="s">
        <v>66</v>
      </c>
      <c r="I430" s="7">
        <v>1054.5</v>
      </c>
      <c r="J430" s="18" t="b">
        <f>IF(tblFactFinance[[#This Row],[MonthStart]] &lt;= Inputs!$B$1, TRUE, FALSE)</f>
        <v>1</v>
      </c>
    </row>
    <row r="431" spans="1:10" x14ac:dyDescent="0.3">
      <c r="A431" s="15">
        <v>45809</v>
      </c>
      <c r="B431" s="17" t="s">
        <v>59</v>
      </c>
      <c r="C431" s="3" t="s">
        <v>2</v>
      </c>
      <c r="D431" s="3" t="str">
        <f>VLOOKUP(C431, Ref_Department!$A$2:$D$6, 2, FALSE)</f>
        <v>Lending</v>
      </c>
      <c r="E431" s="3" t="s">
        <v>11</v>
      </c>
      <c r="F431" s="3" t="str">
        <f>VLOOKUP(E431, Ref_GLAccount!$A$2:$D$9, 2, FALSE)</f>
        <v>Office Supplies</v>
      </c>
      <c r="G431" s="3" t="str">
        <f>VLOOKUP(E431, Ref_GLAccount!$A$2:$D$9, 3, FALSE)</f>
        <v>Other OPEX</v>
      </c>
      <c r="H431" s="6" t="s">
        <v>70</v>
      </c>
      <c r="I431" s="7">
        <v>936</v>
      </c>
      <c r="J431" s="18" t="b">
        <f>IF(tblFactFinance[[#This Row],[MonthStart]] &lt;= Inputs!$B$1, TRUE, FALSE)</f>
        <v>1</v>
      </c>
    </row>
    <row r="432" spans="1:10" x14ac:dyDescent="0.3">
      <c r="A432" s="15">
        <v>45809</v>
      </c>
      <c r="B432" s="17" t="s">
        <v>59</v>
      </c>
      <c r="C432" s="3" t="s">
        <v>2</v>
      </c>
      <c r="D432" s="3" t="str">
        <f>VLOOKUP(C432, Ref_Department!$A$2:$D$6, 2, FALSE)</f>
        <v>Lending</v>
      </c>
      <c r="E432" s="3" t="s">
        <v>12</v>
      </c>
      <c r="F432" s="3" t="str">
        <f>VLOOKUP(E432, Ref_GLAccount!$A$2:$D$9, 2, FALSE)</f>
        <v>Training &amp; Development</v>
      </c>
      <c r="G432" s="3" t="str">
        <f>VLOOKUP(E432, Ref_GLAccount!$A$2:$D$9, 3, FALSE)</f>
        <v>Other OPEX</v>
      </c>
      <c r="H432" s="6" t="s">
        <v>66</v>
      </c>
      <c r="I432" s="7">
        <v>1405.35</v>
      </c>
      <c r="J432" s="18" t="b">
        <f>IF(tblFactFinance[[#This Row],[MonthStart]] &lt;= Inputs!$B$1, TRUE, FALSE)</f>
        <v>1</v>
      </c>
    </row>
    <row r="433" spans="1:10" x14ac:dyDescent="0.3">
      <c r="A433" s="15">
        <v>45809</v>
      </c>
      <c r="B433" s="17" t="s">
        <v>59</v>
      </c>
      <c r="C433" s="3" t="s">
        <v>2</v>
      </c>
      <c r="D433" s="3" t="str">
        <f>VLOOKUP(C433, Ref_Department!$A$2:$D$6, 2, FALSE)</f>
        <v>Lending</v>
      </c>
      <c r="E433" s="3" t="s">
        <v>12</v>
      </c>
      <c r="F433" s="3" t="str">
        <f>VLOOKUP(E433, Ref_GLAccount!$A$2:$D$9, 2, FALSE)</f>
        <v>Training &amp; Development</v>
      </c>
      <c r="G433" s="3" t="str">
        <f>VLOOKUP(E433, Ref_GLAccount!$A$2:$D$9, 3, FALSE)</f>
        <v>Other OPEX</v>
      </c>
      <c r="H433" s="6" t="s">
        <v>70</v>
      </c>
      <c r="I433" s="7">
        <v>1456</v>
      </c>
      <c r="J433" s="18" t="b">
        <f>IF(tblFactFinance[[#This Row],[MonthStart]] &lt;= Inputs!$B$1, TRUE, FALSE)</f>
        <v>1</v>
      </c>
    </row>
    <row r="434" spans="1:10" x14ac:dyDescent="0.3">
      <c r="A434" s="15">
        <v>45809</v>
      </c>
      <c r="B434" s="17" t="s">
        <v>59</v>
      </c>
      <c r="C434" s="3" t="s">
        <v>3</v>
      </c>
      <c r="D434" s="3" t="str">
        <f>VLOOKUP(C434, Ref_Department!$A$2:$D$6, 2, FALSE)</f>
        <v>Information Technology</v>
      </c>
      <c r="E434" s="3" t="s">
        <v>33</v>
      </c>
      <c r="F434" s="3" t="str">
        <f>VLOOKUP(E434, Ref_GLAccount!$A$2:$D$9, 2, FALSE)</f>
        <v>Salaries</v>
      </c>
      <c r="G434" s="3" t="str">
        <f>VLOOKUP(E434, Ref_GLAccount!$A$2:$D$9, 3, FALSE)</f>
        <v>Personnel</v>
      </c>
      <c r="H434" s="6" t="s">
        <v>66</v>
      </c>
      <c r="I434" s="7">
        <v>142353.87</v>
      </c>
      <c r="J434" s="18" t="b">
        <f>IF(tblFactFinance[[#This Row],[MonthStart]] &lt;= Inputs!$B$1, TRUE, FALSE)</f>
        <v>1</v>
      </c>
    </row>
    <row r="435" spans="1:10" x14ac:dyDescent="0.3">
      <c r="A435" s="15">
        <v>45809</v>
      </c>
      <c r="B435" s="17" t="s">
        <v>59</v>
      </c>
      <c r="C435" s="3" t="s">
        <v>3</v>
      </c>
      <c r="D435" s="3" t="str">
        <f>VLOOKUP(C435, Ref_Department!$A$2:$D$6, 2, FALSE)</f>
        <v>Information Technology</v>
      </c>
      <c r="E435" s="3" t="s">
        <v>33</v>
      </c>
      <c r="F435" s="3" t="str">
        <f>VLOOKUP(E435, Ref_GLAccount!$A$2:$D$9, 2, FALSE)</f>
        <v>Salaries</v>
      </c>
      <c r="G435" s="3" t="str">
        <f>VLOOKUP(E435, Ref_GLAccount!$A$2:$D$9, 3, FALSE)</f>
        <v>Personnel</v>
      </c>
      <c r="H435" s="6" t="s">
        <v>70</v>
      </c>
      <c r="I435" s="7">
        <v>151410</v>
      </c>
      <c r="J435" s="18" t="b">
        <f>IF(tblFactFinance[[#This Row],[MonthStart]] &lt;= Inputs!$B$1, TRUE, FALSE)</f>
        <v>1</v>
      </c>
    </row>
    <row r="436" spans="1:10" x14ac:dyDescent="0.3">
      <c r="A436" s="15">
        <v>45809</v>
      </c>
      <c r="B436" s="17" t="s">
        <v>59</v>
      </c>
      <c r="C436" s="3" t="s">
        <v>3</v>
      </c>
      <c r="D436" s="3" t="str">
        <f>VLOOKUP(C436, Ref_Department!$A$2:$D$6, 2, FALSE)</f>
        <v>Information Technology</v>
      </c>
      <c r="E436" s="3" t="s">
        <v>37</v>
      </c>
      <c r="F436" s="3" t="str">
        <f>VLOOKUP(E436, Ref_GLAccount!$A$2:$D$9, 2, FALSE)</f>
        <v>Benefits</v>
      </c>
      <c r="G436" s="3" t="str">
        <f>VLOOKUP(E436, Ref_GLAccount!$A$2:$D$9, 3, FALSE)</f>
        <v>Personnel</v>
      </c>
      <c r="H436" s="6" t="s">
        <v>66</v>
      </c>
      <c r="I436" s="7">
        <v>32582.03</v>
      </c>
      <c r="J436" s="18" t="b">
        <f>IF(tblFactFinance[[#This Row],[MonthStart]] &lt;= Inputs!$B$1, TRUE, FALSE)</f>
        <v>1</v>
      </c>
    </row>
    <row r="437" spans="1:10" x14ac:dyDescent="0.3">
      <c r="A437" s="15">
        <v>45809</v>
      </c>
      <c r="B437" s="17" t="s">
        <v>59</v>
      </c>
      <c r="C437" s="3" t="s">
        <v>3</v>
      </c>
      <c r="D437" s="3" t="str">
        <f>VLOOKUP(C437, Ref_Department!$A$2:$D$6, 2, FALSE)</f>
        <v>Information Technology</v>
      </c>
      <c r="E437" s="3" t="s">
        <v>37</v>
      </c>
      <c r="F437" s="3" t="str">
        <f>VLOOKUP(E437, Ref_GLAccount!$A$2:$D$9, 2, FALSE)</f>
        <v>Benefits</v>
      </c>
      <c r="G437" s="3" t="str">
        <f>VLOOKUP(E437, Ref_GLAccount!$A$2:$D$9, 3, FALSE)</f>
        <v>Personnel</v>
      </c>
      <c r="H437" s="6" t="s">
        <v>70</v>
      </c>
      <c r="I437" s="7">
        <v>33310.199999999997</v>
      </c>
      <c r="J437" s="18" t="b">
        <f>IF(tblFactFinance[[#This Row],[MonthStart]] &lt;= Inputs!$B$1, TRUE, FALSE)</f>
        <v>1</v>
      </c>
    </row>
    <row r="438" spans="1:10" x14ac:dyDescent="0.3">
      <c r="A438" s="15">
        <v>45809</v>
      </c>
      <c r="B438" s="17" t="s">
        <v>59</v>
      </c>
      <c r="C438" s="3" t="s">
        <v>3</v>
      </c>
      <c r="D438" s="3" t="str">
        <f>VLOOKUP(C438, Ref_Department!$A$2:$D$6, 2, FALSE)</f>
        <v>Information Technology</v>
      </c>
      <c r="E438" s="3" t="s">
        <v>7</v>
      </c>
      <c r="F438" s="3" t="str">
        <f>VLOOKUP(E438, Ref_GLAccount!$A$2:$D$9, 2, FALSE)</f>
        <v>Occupancy &amp; Facilities</v>
      </c>
      <c r="G438" s="3" t="str">
        <f>VLOOKUP(E438, Ref_GLAccount!$A$2:$D$9, 3, FALSE)</f>
        <v>Facilities</v>
      </c>
      <c r="H438" s="6" t="s">
        <v>66</v>
      </c>
      <c r="I438" s="7">
        <v>9170.1</v>
      </c>
      <c r="J438" s="18" t="b">
        <f>IF(tblFactFinance[[#This Row],[MonthStart]] &lt;= Inputs!$B$1, TRUE, FALSE)</f>
        <v>1</v>
      </c>
    </row>
    <row r="439" spans="1:10" x14ac:dyDescent="0.3">
      <c r="A439" s="15">
        <v>45809</v>
      </c>
      <c r="B439" s="17" t="s">
        <v>59</v>
      </c>
      <c r="C439" s="3" t="s">
        <v>3</v>
      </c>
      <c r="D439" s="3" t="str">
        <f>VLOOKUP(C439, Ref_Department!$A$2:$D$6, 2, FALSE)</f>
        <v>Information Technology</v>
      </c>
      <c r="E439" s="3" t="s">
        <v>7</v>
      </c>
      <c r="F439" s="3" t="str">
        <f>VLOOKUP(E439, Ref_GLAccount!$A$2:$D$9, 2, FALSE)</f>
        <v>Occupancy &amp; Facilities</v>
      </c>
      <c r="G439" s="3" t="str">
        <f>VLOOKUP(E439, Ref_GLAccount!$A$2:$D$9, 3, FALSE)</f>
        <v>Facilities</v>
      </c>
      <c r="H439" s="6" t="s">
        <v>70</v>
      </c>
      <c r="I439" s="7">
        <v>9000</v>
      </c>
      <c r="J439" s="18" t="b">
        <f>IF(tblFactFinance[[#This Row],[MonthStart]] &lt;= Inputs!$B$1, TRUE, FALSE)</f>
        <v>1</v>
      </c>
    </row>
    <row r="440" spans="1:10" x14ac:dyDescent="0.3">
      <c r="A440" s="15">
        <v>45809</v>
      </c>
      <c r="B440" s="17" t="s">
        <v>59</v>
      </c>
      <c r="C440" s="3" t="s">
        <v>3</v>
      </c>
      <c r="D440" s="3" t="str">
        <f>VLOOKUP(C440, Ref_Department!$A$2:$D$6, 2, FALSE)</f>
        <v>Information Technology</v>
      </c>
      <c r="E440" s="3" t="s">
        <v>8</v>
      </c>
      <c r="F440" s="3" t="str">
        <f>VLOOKUP(E440, Ref_GLAccount!$A$2:$D$9, 2, FALSE)</f>
        <v>IT Software &amp; Subscriptions</v>
      </c>
      <c r="G440" s="3" t="str">
        <f>VLOOKUP(E440, Ref_GLAccount!$A$2:$D$9, 3, FALSE)</f>
        <v>IT</v>
      </c>
      <c r="H440" s="6" t="s">
        <v>66</v>
      </c>
      <c r="I440" s="7">
        <v>44891.4</v>
      </c>
      <c r="J440" s="18" t="b">
        <f>IF(tblFactFinance[[#This Row],[MonthStart]] &lt;= Inputs!$B$1, TRUE, FALSE)</f>
        <v>1</v>
      </c>
    </row>
    <row r="441" spans="1:10" x14ac:dyDescent="0.3">
      <c r="A441" s="15">
        <v>45809</v>
      </c>
      <c r="B441" s="17" t="s">
        <v>59</v>
      </c>
      <c r="C441" s="3" t="s">
        <v>3</v>
      </c>
      <c r="D441" s="3" t="str">
        <f>VLOOKUP(C441, Ref_Department!$A$2:$D$6, 2, FALSE)</f>
        <v>Information Technology</v>
      </c>
      <c r="E441" s="3" t="s">
        <v>8</v>
      </c>
      <c r="F441" s="3" t="str">
        <f>VLOOKUP(E441, Ref_GLAccount!$A$2:$D$9, 2, FALSE)</f>
        <v>IT Software &amp; Subscriptions</v>
      </c>
      <c r="G441" s="3" t="str">
        <f>VLOOKUP(E441, Ref_GLAccount!$A$2:$D$9, 3, FALSE)</f>
        <v>IT</v>
      </c>
      <c r="H441" s="6" t="s">
        <v>70</v>
      </c>
      <c r="I441" s="7">
        <v>43680</v>
      </c>
      <c r="J441" s="18" t="b">
        <f>IF(tblFactFinance[[#This Row],[MonthStart]] &lt;= Inputs!$B$1, TRUE, FALSE)</f>
        <v>1</v>
      </c>
    </row>
    <row r="442" spans="1:10" x14ac:dyDescent="0.3">
      <c r="A442" s="15">
        <v>45809</v>
      </c>
      <c r="B442" s="17" t="s">
        <v>59</v>
      </c>
      <c r="C442" s="3" t="s">
        <v>3</v>
      </c>
      <c r="D442" s="3" t="str">
        <f>VLOOKUP(C442, Ref_Department!$A$2:$D$6, 2, FALSE)</f>
        <v>Information Technology</v>
      </c>
      <c r="E442" s="3" t="s">
        <v>9</v>
      </c>
      <c r="F442" s="3" t="str">
        <f>VLOOKUP(E442, Ref_GLAccount!$A$2:$D$9, 2, FALSE)</f>
        <v>Marketing &amp; Advertising</v>
      </c>
      <c r="G442" s="3" t="str">
        <f>VLOOKUP(E442, Ref_GLAccount!$A$2:$D$9, 3, FALSE)</f>
        <v>Marketing</v>
      </c>
      <c r="H442" s="6" t="s">
        <v>66</v>
      </c>
      <c r="I442" s="7">
        <v>1640.52</v>
      </c>
      <c r="J442" s="18" t="b">
        <f>IF(tblFactFinance[[#This Row],[MonthStart]] &lt;= Inputs!$B$1, TRUE, FALSE)</f>
        <v>1</v>
      </c>
    </row>
    <row r="443" spans="1:10" x14ac:dyDescent="0.3">
      <c r="A443" s="15">
        <v>45809</v>
      </c>
      <c r="B443" s="17" t="s">
        <v>59</v>
      </c>
      <c r="C443" s="3" t="s">
        <v>3</v>
      </c>
      <c r="D443" s="3" t="str">
        <f>VLOOKUP(C443, Ref_Department!$A$2:$D$6, 2, FALSE)</f>
        <v>Information Technology</v>
      </c>
      <c r="E443" s="3" t="s">
        <v>9</v>
      </c>
      <c r="F443" s="3" t="str">
        <f>VLOOKUP(E443, Ref_GLAccount!$A$2:$D$9, 2, FALSE)</f>
        <v>Marketing &amp; Advertising</v>
      </c>
      <c r="G443" s="3" t="str">
        <f>VLOOKUP(E443, Ref_GLAccount!$A$2:$D$9, 3, FALSE)</f>
        <v>Marketing</v>
      </c>
      <c r="H443" s="6" t="s">
        <v>70</v>
      </c>
      <c r="I443" s="7">
        <v>1560</v>
      </c>
      <c r="J443" s="18" t="b">
        <f>IF(tblFactFinance[[#This Row],[MonthStart]] &lt;= Inputs!$B$1, TRUE, FALSE)</f>
        <v>1</v>
      </c>
    </row>
    <row r="444" spans="1:10" x14ac:dyDescent="0.3">
      <c r="A444" s="15">
        <v>45809</v>
      </c>
      <c r="B444" s="17" t="s">
        <v>59</v>
      </c>
      <c r="C444" s="3" t="s">
        <v>3</v>
      </c>
      <c r="D444" s="3" t="str">
        <f>VLOOKUP(C444, Ref_Department!$A$2:$D$6, 2, FALSE)</f>
        <v>Information Technology</v>
      </c>
      <c r="E444" s="3" t="s">
        <v>10</v>
      </c>
      <c r="F444" s="3" t="str">
        <f>VLOOKUP(E444, Ref_GLAccount!$A$2:$D$9, 2, FALSE)</f>
        <v>Professional Services</v>
      </c>
      <c r="G444" s="3" t="str">
        <f>VLOOKUP(E444, Ref_GLAccount!$A$2:$D$9, 3, FALSE)</f>
        <v>Professional Services</v>
      </c>
      <c r="H444" s="6" t="s">
        <v>66</v>
      </c>
      <c r="I444" s="7">
        <v>12351.7</v>
      </c>
      <c r="J444" s="18" t="b">
        <f>IF(tblFactFinance[[#This Row],[MonthStart]] &lt;= Inputs!$B$1, TRUE, FALSE)</f>
        <v>1</v>
      </c>
    </row>
    <row r="445" spans="1:10" x14ac:dyDescent="0.3">
      <c r="A445" s="15">
        <v>45809</v>
      </c>
      <c r="B445" s="17" t="s">
        <v>59</v>
      </c>
      <c r="C445" s="3" t="s">
        <v>3</v>
      </c>
      <c r="D445" s="3" t="str">
        <f>VLOOKUP(C445, Ref_Department!$A$2:$D$6, 2, FALSE)</f>
        <v>Information Technology</v>
      </c>
      <c r="E445" s="3" t="s">
        <v>10</v>
      </c>
      <c r="F445" s="3" t="str">
        <f>VLOOKUP(E445, Ref_GLAccount!$A$2:$D$9, 2, FALSE)</f>
        <v>Professional Services</v>
      </c>
      <c r="G445" s="3" t="str">
        <f>VLOOKUP(E445, Ref_GLAccount!$A$2:$D$9, 3, FALSE)</f>
        <v>Professional Services</v>
      </c>
      <c r="H445" s="6" t="s">
        <v>70</v>
      </c>
      <c r="I445" s="7">
        <v>12480</v>
      </c>
      <c r="J445" s="18" t="b">
        <f>IF(tblFactFinance[[#This Row],[MonthStart]] &lt;= Inputs!$B$1, TRUE, FALSE)</f>
        <v>1</v>
      </c>
    </row>
    <row r="446" spans="1:10" x14ac:dyDescent="0.3">
      <c r="A446" s="15">
        <v>45809</v>
      </c>
      <c r="B446" s="17" t="s">
        <v>59</v>
      </c>
      <c r="C446" s="3" t="s">
        <v>3</v>
      </c>
      <c r="D446" s="3" t="str">
        <f>VLOOKUP(C446, Ref_Department!$A$2:$D$6, 2, FALSE)</f>
        <v>Information Technology</v>
      </c>
      <c r="E446" s="3" t="s">
        <v>11</v>
      </c>
      <c r="F446" s="3" t="str">
        <f>VLOOKUP(E446, Ref_GLAccount!$A$2:$D$9, 2, FALSE)</f>
        <v>Office Supplies</v>
      </c>
      <c r="G446" s="3" t="str">
        <f>VLOOKUP(E446, Ref_GLAccount!$A$2:$D$9, 3, FALSE)</f>
        <v>Other OPEX</v>
      </c>
      <c r="H446" s="6" t="s">
        <v>66</v>
      </c>
      <c r="I446" s="7">
        <v>778.68</v>
      </c>
      <c r="J446" s="18" t="b">
        <f>IF(tblFactFinance[[#This Row],[MonthStart]] &lt;= Inputs!$B$1, TRUE, FALSE)</f>
        <v>1</v>
      </c>
    </row>
    <row r="447" spans="1:10" x14ac:dyDescent="0.3">
      <c r="A447" s="15">
        <v>45809</v>
      </c>
      <c r="B447" s="17" t="s">
        <v>59</v>
      </c>
      <c r="C447" s="3" t="s">
        <v>3</v>
      </c>
      <c r="D447" s="3" t="str">
        <f>VLOOKUP(C447, Ref_Department!$A$2:$D$6, 2, FALSE)</f>
        <v>Information Technology</v>
      </c>
      <c r="E447" s="3" t="s">
        <v>11</v>
      </c>
      <c r="F447" s="3" t="str">
        <f>VLOOKUP(E447, Ref_GLAccount!$A$2:$D$9, 2, FALSE)</f>
        <v>Office Supplies</v>
      </c>
      <c r="G447" s="3" t="str">
        <f>VLOOKUP(E447, Ref_GLAccount!$A$2:$D$9, 3, FALSE)</f>
        <v>Other OPEX</v>
      </c>
      <c r="H447" s="6" t="s">
        <v>70</v>
      </c>
      <c r="I447" s="7">
        <v>832</v>
      </c>
      <c r="J447" s="18" t="b">
        <f>IF(tblFactFinance[[#This Row],[MonthStart]] &lt;= Inputs!$B$1, TRUE, FALSE)</f>
        <v>1</v>
      </c>
    </row>
    <row r="448" spans="1:10" x14ac:dyDescent="0.3">
      <c r="A448" s="15">
        <v>45809</v>
      </c>
      <c r="B448" s="17" t="s">
        <v>59</v>
      </c>
      <c r="C448" s="3" t="s">
        <v>3</v>
      </c>
      <c r="D448" s="3" t="str">
        <f>VLOOKUP(C448, Ref_Department!$A$2:$D$6, 2, FALSE)</f>
        <v>Information Technology</v>
      </c>
      <c r="E448" s="3" t="s">
        <v>12</v>
      </c>
      <c r="F448" s="3" t="str">
        <f>VLOOKUP(E448, Ref_GLAccount!$A$2:$D$9, 2, FALSE)</f>
        <v>Training &amp; Development</v>
      </c>
      <c r="G448" s="3" t="str">
        <f>VLOOKUP(E448, Ref_GLAccount!$A$2:$D$9, 3, FALSE)</f>
        <v>Other OPEX</v>
      </c>
      <c r="H448" s="6" t="s">
        <v>66</v>
      </c>
      <c r="I448" s="7">
        <v>1839.42</v>
      </c>
      <c r="J448" s="18" t="b">
        <f>IF(tblFactFinance[[#This Row],[MonthStart]] &lt;= Inputs!$B$1, TRUE, FALSE)</f>
        <v>1</v>
      </c>
    </row>
    <row r="449" spans="1:10" x14ac:dyDescent="0.3">
      <c r="A449" s="15">
        <v>45809</v>
      </c>
      <c r="B449" s="17" t="s">
        <v>59</v>
      </c>
      <c r="C449" s="3" t="s">
        <v>3</v>
      </c>
      <c r="D449" s="3" t="str">
        <f>VLOOKUP(C449, Ref_Department!$A$2:$D$6, 2, FALSE)</f>
        <v>Information Technology</v>
      </c>
      <c r="E449" s="3" t="s">
        <v>12</v>
      </c>
      <c r="F449" s="3" t="str">
        <f>VLOOKUP(E449, Ref_GLAccount!$A$2:$D$9, 2, FALSE)</f>
        <v>Training &amp; Development</v>
      </c>
      <c r="G449" s="3" t="str">
        <f>VLOOKUP(E449, Ref_GLAccount!$A$2:$D$9, 3, FALSE)</f>
        <v>Other OPEX</v>
      </c>
      <c r="H449" s="6" t="s">
        <v>70</v>
      </c>
      <c r="I449" s="7">
        <v>1872</v>
      </c>
      <c r="J449" s="18" t="b">
        <f>IF(tblFactFinance[[#This Row],[MonthStart]] &lt;= Inputs!$B$1, TRUE, FALSE)</f>
        <v>1</v>
      </c>
    </row>
    <row r="450" spans="1:10" x14ac:dyDescent="0.3">
      <c r="A450" s="15">
        <v>45809</v>
      </c>
      <c r="B450" s="17" t="s">
        <v>59</v>
      </c>
      <c r="C450" s="3" t="s">
        <v>4</v>
      </c>
      <c r="D450" s="3" t="str">
        <f>VLOOKUP(C450, Ref_Department!$A$2:$D$6, 2, FALSE)</f>
        <v>Marketing</v>
      </c>
      <c r="E450" s="3" t="s">
        <v>33</v>
      </c>
      <c r="F450" s="3" t="str">
        <f>VLOOKUP(E450, Ref_GLAccount!$A$2:$D$9, 2, FALSE)</f>
        <v>Salaries</v>
      </c>
      <c r="G450" s="3" t="str">
        <f>VLOOKUP(E450, Ref_GLAccount!$A$2:$D$9, 3, FALSE)</f>
        <v>Personnel</v>
      </c>
      <c r="H450" s="6" t="s">
        <v>66</v>
      </c>
      <c r="I450" s="7">
        <v>67568.570000000007</v>
      </c>
      <c r="J450" s="18" t="b">
        <f>IF(tblFactFinance[[#This Row],[MonthStart]] &lt;= Inputs!$B$1, TRUE, FALSE)</f>
        <v>1</v>
      </c>
    </row>
    <row r="451" spans="1:10" x14ac:dyDescent="0.3">
      <c r="A451" s="15">
        <v>45809</v>
      </c>
      <c r="B451" s="17" t="s">
        <v>59</v>
      </c>
      <c r="C451" s="3" t="s">
        <v>4</v>
      </c>
      <c r="D451" s="3" t="str">
        <f>VLOOKUP(C451, Ref_Department!$A$2:$D$6, 2, FALSE)</f>
        <v>Marketing</v>
      </c>
      <c r="E451" s="3" t="s">
        <v>33</v>
      </c>
      <c r="F451" s="3" t="str">
        <f>VLOOKUP(E451, Ref_GLAccount!$A$2:$D$9, 2, FALSE)</f>
        <v>Salaries</v>
      </c>
      <c r="G451" s="3" t="str">
        <f>VLOOKUP(E451, Ref_GLAccount!$A$2:$D$9, 3, FALSE)</f>
        <v>Personnel</v>
      </c>
      <c r="H451" s="6" t="s">
        <v>70</v>
      </c>
      <c r="I451" s="7">
        <v>64375</v>
      </c>
      <c r="J451" s="18" t="b">
        <f>IF(tblFactFinance[[#This Row],[MonthStart]] &lt;= Inputs!$B$1, TRUE, FALSE)</f>
        <v>1</v>
      </c>
    </row>
    <row r="452" spans="1:10" x14ac:dyDescent="0.3">
      <c r="A452" s="15">
        <v>45809</v>
      </c>
      <c r="B452" s="17" t="s">
        <v>59</v>
      </c>
      <c r="C452" s="3" t="s">
        <v>4</v>
      </c>
      <c r="D452" s="3" t="str">
        <f>VLOOKUP(C452, Ref_Department!$A$2:$D$6, 2, FALSE)</f>
        <v>Marketing</v>
      </c>
      <c r="E452" s="3" t="s">
        <v>37</v>
      </c>
      <c r="F452" s="3" t="str">
        <f>VLOOKUP(E452, Ref_GLAccount!$A$2:$D$9, 2, FALSE)</f>
        <v>Benefits</v>
      </c>
      <c r="G452" s="3" t="str">
        <f>VLOOKUP(E452, Ref_GLAccount!$A$2:$D$9, 3, FALSE)</f>
        <v>Personnel</v>
      </c>
      <c r="H452" s="6" t="s">
        <v>66</v>
      </c>
      <c r="I452" s="7">
        <v>14426.3</v>
      </c>
      <c r="J452" s="18" t="b">
        <f>IF(tblFactFinance[[#This Row],[MonthStart]] &lt;= Inputs!$B$1, TRUE, FALSE)</f>
        <v>1</v>
      </c>
    </row>
    <row r="453" spans="1:10" x14ac:dyDescent="0.3">
      <c r="A453" s="15">
        <v>45809</v>
      </c>
      <c r="B453" s="17" t="s">
        <v>59</v>
      </c>
      <c r="C453" s="3" t="s">
        <v>4</v>
      </c>
      <c r="D453" s="3" t="str">
        <f>VLOOKUP(C453, Ref_Department!$A$2:$D$6, 2, FALSE)</f>
        <v>Marketing</v>
      </c>
      <c r="E453" s="3" t="s">
        <v>37</v>
      </c>
      <c r="F453" s="3" t="str">
        <f>VLOOKUP(E453, Ref_GLAccount!$A$2:$D$9, 2, FALSE)</f>
        <v>Benefits</v>
      </c>
      <c r="G453" s="3" t="str">
        <f>VLOOKUP(E453, Ref_GLAccount!$A$2:$D$9, 3, FALSE)</f>
        <v>Personnel</v>
      </c>
      <c r="H453" s="6" t="s">
        <v>70</v>
      </c>
      <c r="I453" s="7">
        <v>14162.5</v>
      </c>
      <c r="J453" s="18" t="b">
        <f>IF(tblFactFinance[[#This Row],[MonthStart]] &lt;= Inputs!$B$1, TRUE, FALSE)</f>
        <v>1</v>
      </c>
    </row>
    <row r="454" spans="1:10" x14ac:dyDescent="0.3">
      <c r="A454" s="15">
        <v>45809</v>
      </c>
      <c r="B454" s="17" t="s">
        <v>59</v>
      </c>
      <c r="C454" s="3" t="s">
        <v>4</v>
      </c>
      <c r="D454" s="3" t="str">
        <f>VLOOKUP(C454, Ref_Department!$A$2:$D$6, 2, FALSE)</f>
        <v>Marketing</v>
      </c>
      <c r="E454" s="3" t="s">
        <v>7</v>
      </c>
      <c r="F454" s="3" t="str">
        <f>VLOOKUP(E454, Ref_GLAccount!$A$2:$D$9, 2, FALSE)</f>
        <v>Occupancy &amp; Facilities</v>
      </c>
      <c r="G454" s="3" t="str">
        <f>VLOOKUP(E454, Ref_GLAccount!$A$2:$D$9, 3, FALSE)</f>
        <v>Facilities</v>
      </c>
      <c r="H454" s="6" t="s">
        <v>66</v>
      </c>
      <c r="I454" s="7">
        <v>5530.33</v>
      </c>
      <c r="J454" s="18" t="b">
        <f>IF(tblFactFinance[[#This Row],[MonthStart]] &lt;= Inputs!$B$1, TRUE, FALSE)</f>
        <v>1</v>
      </c>
    </row>
    <row r="455" spans="1:10" x14ac:dyDescent="0.3">
      <c r="A455" s="15">
        <v>45809</v>
      </c>
      <c r="B455" s="17" t="s">
        <v>59</v>
      </c>
      <c r="C455" s="3" t="s">
        <v>4</v>
      </c>
      <c r="D455" s="3" t="str">
        <f>VLOOKUP(C455, Ref_Department!$A$2:$D$6, 2, FALSE)</f>
        <v>Marketing</v>
      </c>
      <c r="E455" s="3" t="s">
        <v>7</v>
      </c>
      <c r="F455" s="3" t="str">
        <f>VLOOKUP(E455, Ref_GLAccount!$A$2:$D$9, 2, FALSE)</f>
        <v>Occupancy &amp; Facilities</v>
      </c>
      <c r="G455" s="3" t="str">
        <f>VLOOKUP(E455, Ref_GLAccount!$A$2:$D$9, 3, FALSE)</f>
        <v>Facilities</v>
      </c>
      <c r="H455" s="6" t="s">
        <v>70</v>
      </c>
      <c r="I455" s="7">
        <v>6000</v>
      </c>
      <c r="J455" s="18" t="b">
        <f>IF(tblFactFinance[[#This Row],[MonthStart]] &lt;= Inputs!$B$1, TRUE, FALSE)</f>
        <v>1</v>
      </c>
    </row>
    <row r="456" spans="1:10" x14ac:dyDescent="0.3">
      <c r="A456" s="15">
        <v>45809</v>
      </c>
      <c r="B456" s="17" t="s">
        <v>59</v>
      </c>
      <c r="C456" s="3" t="s">
        <v>4</v>
      </c>
      <c r="D456" s="3" t="str">
        <f>VLOOKUP(C456, Ref_Department!$A$2:$D$6, 2, FALSE)</f>
        <v>Marketing</v>
      </c>
      <c r="E456" s="3" t="s">
        <v>8</v>
      </c>
      <c r="F456" s="3" t="str">
        <f>VLOOKUP(E456, Ref_GLAccount!$A$2:$D$9, 2, FALSE)</f>
        <v>IT Software &amp; Subscriptions</v>
      </c>
      <c r="G456" s="3" t="str">
        <f>VLOOKUP(E456, Ref_GLAccount!$A$2:$D$9, 3, FALSE)</f>
        <v>IT</v>
      </c>
      <c r="H456" s="6" t="s">
        <v>66</v>
      </c>
      <c r="I456" s="7">
        <v>7269.79</v>
      </c>
      <c r="J456" s="18" t="b">
        <f>IF(tblFactFinance[[#This Row],[MonthStart]] &lt;= Inputs!$B$1, TRUE, FALSE)</f>
        <v>1</v>
      </c>
    </row>
    <row r="457" spans="1:10" x14ac:dyDescent="0.3">
      <c r="A457" s="15">
        <v>45809</v>
      </c>
      <c r="B457" s="17" t="s">
        <v>59</v>
      </c>
      <c r="C457" s="3" t="s">
        <v>4</v>
      </c>
      <c r="D457" s="3" t="str">
        <f>VLOOKUP(C457, Ref_Department!$A$2:$D$6, 2, FALSE)</f>
        <v>Marketing</v>
      </c>
      <c r="E457" s="3" t="s">
        <v>8</v>
      </c>
      <c r="F457" s="3" t="str">
        <f>VLOOKUP(E457, Ref_GLAccount!$A$2:$D$9, 2, FALSE)</f>
        <v>IT Software &amp; Subscriptions</v>
      </c>
      <c r="G457" s="3" t="str">
        <f>VLOOKUP(E457, Ref_GLAccount!$A$2:$D$9, 3, FALSE)</f>
        <v>IT</v>
      </c>
      <c r="H457" s="6" t="s">
        <v>70</v>
      </c>
      <c r="I457" s="7">
        <v>7280</v>
      </c>
      <c r="J457" s="18" t="b">
        <f>IF(tblFactFinance[[#This Row],[MonthStart]] &lt;= Inputs!$B$1, TRUE, FALSE)</f>
        <v>1</v>
      </c>
    </row>
    <row r="458" spans="1:10" x14ac:dyDescent="0.3">
      <c r="A458" s="15">
        <v>45809</v>
      </c>
      <c r="B458" s="17" t="s">
        <v>59</v>
      </c>
      <c r="C458" s="3" t="s">
        <v>4</v>
      </c>
      <c r="D458" s="3" t="str">
        <f>VLOOKUP(C458, Ref_Department!$A$2:$D$6, 2, FALSE)</f>
        <v>Marketing</v>
      </c>
      <c r="E458" s="3" t="s">
        <v>9</v>
      </c>
      <c r="F458" s="3" t="str">
        <f>VLOOKUP(E458, Ref_GLAccount!$A$2:$D$9, 2, FALSE)</f>
        <v>Marketing &amp; Advertising</v>
      </c>
      <c r="G458" s="3" t="str">
        <f>VLOOKUP(E458, Ref_GLAccount!$A$2:$D$9, 3, FALSE)</f>
        <v>Marketing</v>
      </c>
      <c r="H458" s="6" t="s">
        <v>66</v>
      </c>
      <c r="I458" s="7">
        <v>30748.59</v>
      </c>
      <c r="J458" s="18" t="b">
        <f>IF(tblFactFinance[[#This Row],[MonthStart]] &lt;= Inputs!$B$1, TRUE, FALSE)</f>
        <v>1</v>
      </c>
    </row>
    <row r="459" spans="1:10" x14ac:dyDescent="0.3">
      <c r="A459" s="15">
        <v>45809</v>
      </c>
      <c r="B459" s="17" t="s">
        <v>59</v>
      </c>
      <c r="C459" s="3" t="s">
        <v>4</v>
      </c>
      <c r="D459" s="3" t="str">
        <f>VLOOKUP(C459, Ref_Department!$A$2:$D$6, 2, FALSE)</f>
        <v>Marketing</v>
      </c>
      <c r="E459" s="3" t="s">
        <v>9</v>
      </c>
      <c r="F459" s="3" t="str">
        <f>VLOOKUP(E459, Ref_GLAccount!$A$2:$D$9, 2, FALSE)</f>
        <v>Marketing &amp; Advertising</v>
      </c>
      <c r="G459" s="3" t="str">
        <f>VLOOKUP(E459, Ref_GLAccount!$A$2:$D$9, 3, FALSE)</f>
        <v>Marketing</v>
      </c>
      <c r="H459" s="6" t="s">
        <v>70</v>
      </c>
      <c r="I459" s="7">
        <v>29120</v>
      </c>
      <c r="J459" s="18" t="b">
        <f>IF(tblFactFinance[[#This Row],[MonthStart]] &lt;= Inputs!$B$1, TRUE, FALSE)</f>
        <v>1</v>
      </c>
    </row>
    <row r="460" spans="1:10" x14ac:dyDescent="0.3">
      <c r="A460" s="15">
        <v>45809</v>
      </c>
      <c r="B460" s="17" t="s">
        <v>59</v>
      </c>
      <c r="C460" s="3" t="s">
        <v>4</v>
      </c>
      <c r="D460" s="3" t="str">
        <f>VLOOKUP(C460, Ref_Department!$A$2:$D$6, 2, FALSE)</f>
        <v>Marketing</v>
      </c>
      <c r="E460" s="3" t="s">
        <v>10</v>
      </c>
      <c r="F460" s="3" t="str">
        <f>VLOOKUP(E460, Ref_GLAccount!$A$2:$D$9, 2, FALSE)</f>
        <v>Professional Services</v>
      </c>
      <c r="G460" s="3" t="str">
        <f>VLOOKUP(E460, Ref_GLAccount!$A$2:$D$9, 3, FALSE)</f>
        <v>Professional Services</v>
      </c>
      <c r="H460" s="6" t="s">
        <v>66</v>
      </c>
      <c r="I460" s="7">
        <v>6770.79</v>
      </c>
      <c r="J460" s="18" t="b">
        <f>IF(tblFactFinance[[#This Row],[MonthStart]] &lt;= Inputs!$B$1, TRUE, FALSE)</f>
        <v>1</v>
      </c>
    </row>
    <row r="461" spans="1:10" x14ac:dyDescent="0.3">
      <c r="A461" s="15">
        <v>45809</v>
      </c>
      <c r="B461" s="17" t="s">
        <v>59</v>
      </c>
      <c r="C461" s="3" t="s">
        <v>4</v>
      </c>
      <c r="D461" s="3" t="str">
        <f>VLOOKUP(C461, Ref_Department!$A$2:$D$6, 2, FALSE)</f>
        <v>Marketing</v>
      </c>
      <c r="E461" s="3" t="s">
        <v>10</v>
      </c>
      <c r="F461" s="3" t="str">
        <f>VLOOKUP(E461, Ref_GLAccount!$A$2:$D$9, 2, FALSE)</f>
        <v>Professional Services</v>
      </c>
      <c r="G461" s="3" t="str">
        <f>VLOOKUP(E461, Ref_GLAccount!$A$2:$D$9, 3, FALSE)</f>
        <v>Professional Services</v>
      </c>
      <c r="H461" s="6" t="s">
        <v>70</v>
      </c>
      <c r="I461" s="7">
        <v>6240</v>
      </c>
      <c r="J461" s="18" t="b">
        <f>IF(tblFactFinance[[#This Row],[MonthStart]] &lt;= Inputs!$B$1, TRUE, FALSE)</f>
        <v>1</v>
      </c>
    </row>
    <row r="462" spans="1:10" x14ac:dyDescent="0.3">
      <c r="A462" s="15">
        <v>45809</v>
      </c>
      <c r="B462" s="17" t="s">
        <v>59</v>
      </c>
      <c r="C462" s="3" t="s">
        <v>4</v>
      </c>
      <c r="D462" s="3" t="str">
        <f>VLOOKUP(C462, Ref_Department!$A$2:$D$6, 2, FALSE)</f>
        <v>Marketing</v>
      </c>
      <c r="E462" s="3" t="s">
        <v>11</v>
      </c>
      <c r="F462" s="3" t="str">
        <f>VLOOKUP(E462, Ref_GLAccount!$A$2:$D$9, 2, FALSE)</f>
        <v>Office Supplies</v>
      </c>
      <c r="G462" s="3" t="str">
        <f>VLOOKUP(E462, Ref_GLAccount!$A$2:$D$9, 3, FALSE)</f>
        <v>Other OPEX</v>
      </c>
      <c r="H462" s="6" t="s">
        <v>66</v>
      </c>
      <c r="I462" s="7">
        <v>744.36</v>
      </c>
      <c r="J462" s="18" t="b">
        <f>IF(tblFactFinance[[#This Row],[MonthStart]] &lt;= Inputs!$B$1, TRUE, FALSE)</f>
        <v>1</v>
      </c>
    </row>
    <row r="463" spans="1:10" x14ac:dyDescent="0.3">
      <c r="A463" s="15">
        <v>45809</v>
      </c>
      <c r="B463" s="17" t="s">
        <v>59</v>
      </c>
      <c r="C463" s="3" t="s">
        <v>4</v>
      </c>
      <c r="D463" s="3" t="str">
        <f>VLOOKUP(C463, Ref_Department!$A$2:$D$6, 2, FALSE)</f>
        <v>Marketing</v>
      </c>
      <c r="E463" s="3" t="s">
        <v>11</v>
      </c>
      <c r="F463" s="3" t="str">
        <f>VLOOKUP(E463, Ref_GLAccount!$A$2:$D$9, 2, FALSE)</f>
        <v>Office Supplies</v>
      </c>
      <c r="G463" s="3" t="str">
        <f>VLOOKUP(E463, Ref_GLAccount!$A$2:$D$9, 3, FALSE)</f>
        <v>Other OPEX</v>
      </c>
      <c r="H463" s="6" t="s">
        <v>70</v>
      </c>
      <c r="I463" s="7">
        <v>728</v>
      </c>
      <c r="J463" s="18" t="b">
        <f>IF(tblFactFinance[[#This Row],[MonthStart]] &lt;= Inputs!$B$1, TRUE, FALSE)</f>
        <v>1</v>
      </c>
    </row>
    <row r="464" spans="1:10" x14ac:dyDescent="0.3">
      <c r="A464" s="15">
        <v>45809</v>
      </c>
      <c r="B464" s="17" t="s">
        <v>59</v>
      </c>
      <c r="C464" s="3" t="s">
        <v>4</v>
      </c>
      <c r="D464" s="3" t="str">
        <f>VLOOKUP(C464, Ref_Department!$A$2:$D$6, 2, FALSE)</f>
        <v>Marketing</v>
      </c>
      <c r="E464" s="3" t="s">
        <v>12</v>
      </c>
      <c r="F464" s="3" t="str">
        <f>VLOOKUP(E464, Ref_GLAccount!$A$2:$D$9, 2, FALSE)</f>
        <v>Training &amp; Development</v>
      </c>
      <c r="G464" s="3" t="str">
        <f>VLOOKUP(E464, Ref_GLAccount!$A$2:$D$9, 3, FALSE)</f>
        <v>Other OPEX</v>
      </c>
      <c r="H464" s="6" t="s">
        <v>66</v>
      </c>
      <c r="I464" s="7">
        <v>1158.1500000000001</v>
      </c>
      <c r="J464" s="18" t="b">
        <f>IF(tblFactFinance[[#This Row],[MonthStart]] &lt;= Inputs!$B$1, TRUE, FALSE)</f>
        <v>1</v>
      </c>
    </row>
    <row r="465" spans="1:10" x14ac:dyDescent="0.3">
      <c r="A465" s="15">
        <v>45809</v>
      </c>
      <c r="B465" s="17" t="s">
        <v>59</v>
      </c>
      <c r="C465" s="3" t="s">
        <v>4</v>
      </c>
      <c r="D465" s="3" t="str">
        <f>VLOOKUP(C465, Ref_Department!$A$2:$D$6, 2, FALSE)</f>
        <v>Marketing</v>
      </c>
      <c r="E465" s="3" t="s">
        <v>12</v>
      </c>
      <c r="F465" s="3" t="str">
        <f>VLOOKUP(E465, Ref_GLAccount!$A$2:$D$9, 2, FALSE)</f>
        <v>Training &amp; Development</v>
      </c>
      <c r="G465" s="3" t="str">
        <f>VLOOKUP(E465, Ref_GLAccount!$A$2:$D$9, 3, FALSE)</f>
        <v>Other OPEX</v>
      </c>
      <c r="H465" s="6" t="s">
        <v>70</v>
      </c>
      <c r="I465" s="7">
        <v>1144</v>
      </c>
      <c r="J465" s="18" t="b">
        <f>IF(tblFactFinance[[#This Row],[MonthStart]] &lt;= Inputs!$B$1, TRUE, FALSE)</f>
        <v>1</v>
      </c>
    </row>
    <row r="466" spans="1:10" x14ac:dyDescent="0.3">
      <c r="A466" s="15">
        <v>45809</v>
      </c>
      <c r="B466" s="17" t="s">
        <v>59</v>
      </c>
      <c r="C466" s="3" t="s">
        <v>5</v>
      </c>
      <c r="D466" s="3" t="str">
        <f>VLOOKUP(C466, Ref_Department!$A$2:$D$6, 2, FALSE)</f>
        <v>Human Resources</v>
      </c>
      <c r="E466" s="3" t="s">
        <v>33</v>
      </c>
      <c r="F466" s="3" t="str">
        <f>VLOOKUP(E466, Ref_GLAccount!$A$2:$D$9, 2, FALSE)</f>
        <v>Salaries</v>
      </c>
      <c r="G466" s="3" t="str">
        <f>VLOOKUP(E466, Ref_GLAccount!$A$2:$D$9, 3, FALSE)</f>
        <v>Personnel</v>
      </c>
      <c r="H466" s="6" t="s">
        <v>66</v>
      </c>
      <c r="I466" s="7">
        <v>50902.98</v>
      </c>
      <c r="J466" s="18" t="b">
        <f>IF(tblFactFinance[[#This Row],[MonthStart]] &lt;= Inputs!$B$1, TRUE, FALSE)</f>
        <v>1</v>
      </c>
    </row>
    <row r="467" spans="1:10" x14ac:dyDescent="0.3">
      <c r="A467" s="15">
        <v>45809</v>
      </c>
      <c r="B467" s="17" t="s">
        <v>59</v>
      </c>
      <c r="C467" s="3" t="s">
        <v>5</v>
      </c>
      <c r="D467" s="3" t="str">
        <f>VLOOKUP(C467, Ref_Department!$A$2:$D$6, 2, FALSE)</f>
        <v>Human Resources</v>
      </c>
      <c r="E467" s="3" t="s">
        <v>33</v>
      </c>
      <c r="F467" s="3" t="str">
        <f>VLOOKUP(E467, Ref_GLAccount!$A$2:$D$9, 2, FALSE)</f>
        <v>Salaries</v>
      </c>
      <c r="G467" s="3" t="str">
        <f>VLOOKUP(E467, Ref_GLAccount!$A$2:$D$9, 3, FALSE)</f>
        <v>Personnel</v>
      </c>
      <c r="H467" s="6" t="s">
        <v>70</v>
      </c>
      <c r="I467" s="7">
        <v>53560</v>
      </c>
      <c r="J467" s="18" t="b">
        <f>IF(tblFactFinance[[#This Row],[MonthStart]] &lt;= Inputs!$B$1, TRUE, FALSE)</f>
        <v>1</v>
      </c>
    </row>
    <row r="468" spans="1:10" x14ac:dyDescent="0.3">
      <c r="A468" s="15">
        <v>45809</v>
      </c>
      <c r="B468" s="17" t="s">
        <v>59</v>
      </c>
      <c r="C468" s="3" t="s">
        <v>5</v>
      </c>
      <c r="D468" s="3" t="str">
        <f>VLOOKUP(C468, Ref_Department!$A$2:$D$6, 2, FALSE)</f>
        <v>Human Resources</v>
      </c>
      <c r="E468" s="3" t="s">
        <v>37</v>
      </c>
      <c r="F468" s="3" t="str">
        <f>VLOOKUP(E468, Ref_GLAccount!$A$2:$D$9, 2, FALSE)</f>
        <v>Benefits</v>
      </c>
      <c r="G468" s="3" t="str">
        <f>VLOOKUP(E468, Ref_GLAccount!$A$2:$D$9, 3, FALSE)</f>
        <v>Personnel</v>
      </c>
      <c r="H468" s="6" t="s">
        <v>66</v>
      </c>
      <c r="I468" s="7">
        <v>11385.76</v>
      </c>
      <c r="J468" s="18" t="b">
        <f>IF(tblFactFinance[[#This Row],[MonthStart]] &lt;= Inputs!$B$1, TRUE, FALSE)</f>
        <v>1</v>
      </c>
    </row>
    <row r="469" spans="1:10" x14ac:dyDescent="0.3">
      <c r="A469" s="15">
        <v>45809</v>
      </c>
      <c r="B469" s="17" t="s">
        <v>59</v>
      </c>
      <c r="C469" s="3" t="s">
        <v>5</v>
      </c>
      <c r="D469" s="3" t="str">
        <f>VLOOKUP(C469, Ref_Department!$A$2:$D$6, 2, FALSE)</f>
        <v>Human Resources</v>
      </c>
      <c r="E469" s="3" t="s">
        <v>37</v>
      </c>
      <c r="F469" s="3" t="str">
        <f>VLOOKUP(E469, Ref_GLAccount!$A$2:$D$9, 2, FALSE)</f>
        <v>Benefits</v>
      </c>
      <c r="G469" s="3" t="str">
        <f>VLOOKUP(E469, Ref_GLAccount!$A$2:$D$9, 3, FALSE)</f>
        <v>Personnel</v>
      </c>
      <c r="H469" s="6" t="s">
        <v>70</v>
      </c>
      <c r="I469" s="7">
        <v>11783.2</v>
      </c>
      <c r="J469" s="18" t="b">
        <f>IF(tblFactFinance[[#This Row],[MonthStart]] &lt;= Inputs!$B$1, TRUE, FALSE)</f>
        <v>1</v>
      </c>
    </row>
    <row r="470" spans="1:10" x14ac:dyDescent="0.3">
      <c r="A470" s="15">
        <v>45809</v>
      </c>
      <c r="B470" s="17" t="s">
        <v>59</v>
      </c>
      <c r="C470" s="3" t="s">
        <v>5</v>
      </c>
      <c r="D470" s="3" t="str">
        <f>VLOOKUP(C470, Ref_Department!$A$2:$D$6, 2, FALSE)</f>
        <v>Human Resources</v>
      </c>
      <c r="E470" s="3" t="s">
        <v>7</v>
      </c>
      <c r="F470" s="3" t="str">
        <f>VLOOKUP(E470, Ref_GLAccount!$A$2:$D$9, 2, FALSE)</f>
        <v>Occupancy &amp; Facilities</v>
      </c>
      <c r="G470" s="3" t="str">
        <f>VLOOKUP(E470, Ref_GLAccount!$A$2:$D$9, 3, FALSE)</f>
        <v>Facilities</v>
      </c>
      <c r="H470" s="6" t="s">
        <v>66</v>
      </c>
      <c r="I470" s="7">
        <v>4007.51</v>
      </c>
      <c r="J470" s="18" t="b">
        <f>IF(tblFactFinance[[#This Row],[MonthStart]] &lt;= Inputs!$B$1, TRUE, FALSE)</f>
        <v>1</v>
      </c>
    </row>
    <row r="471" spans="1:10" x14ac:dyDescent="0.3">
      <c r="A471" s="15">
        <v>45809</v>
      </c>
      <c r="B471" s="17" t="s">
        <v>59</v>
      </c>
      <c r="C471" s="3" t="s">
        <v>5</v>
      </c>
      <c r="D471" s="3" t="str">
        <f>VLOOKUP(C471, Ref_Department!$A$2:$D$6, 2, FALSE)</f>
        <v>Human Resources</v>
      </c>
      <c r="E471" s="3" t="s">
        <v>7</v>
      </c>
      <c r="F471" s="3" t="str">
        <f>VLOOKUP(E471, Ref_GLAccount!$A$2:$D$9, 2, FALSE)</f>
        <v>Occupancy &amp; Facilities</v>
      </c>
      <c r="G471" s="3" t="str">
        <f>VLOOKUP(E471, Ref_GLAccount!$A$2:$D$9, 3, FALSE)</f>
        <v>Facilities</v>
      </c>
      <c r="H471" s="6" t="s">
        <v>70</v>
      </c>
      <c r="I471" s="7">
        <v>4000</v>
      </c>
      <c r="J471" s="18" t="b">
        <f>IF(tblFactFinance[[#This Row],[MonthStart]] &lt;= Inputs!$B$1, TRUE, FALSE)</f>
        <v>1</v>
      </c>
    </row>
    <row r="472" spans="1:10" x14ac:dyDescent="0.3">
      <c r="A472" s="15">
        <v>45809</v>
      </c>
      <c r="B472" s="17" t="s">
        <v>59</v>
      </c>
      <c r="C472" s="3" t="s">
        <v>5</v>
      </c>
      <c r="D472" s="3" t="str">
        <f>VLOOKUP(C472, Ref_Department!$A$2:$D$6, 2, FALSE)</f>
        <v>Human Resources</v>
      </c>
      <c r="E472" s="3" t="s">
        <v>8</v>
      </c>
      <c r="F472" s="3" t="str">
        <f>VLOOKUP(E472, Ref_GLAccount!$A$2:$D$9, 2, FALSE)</f>
        <v>IT Software &amp; Subscriptions</v>
      </c>
      <c r="G472" s="3" t="str">
        <f>VLOOKUP(E472, Ref_GLAccount!$A$2:$D$9, 3, FALSE)</f>
        <v>IT</v>
      </c>
      <c r="H472" s="6" t="s">
        <v>66</v>
      </c>
      <c r="I472" s="7">
        <v>5304.67</v>
      </c>
      <c r="J472" s="18" t="b">
        <f>IF(tblFactFinance[[#This Row],[MonthStart]] &lt;= Inputs!$B$1, TRUE, FALSE)</f>
        <v>1</v>
      </c>
    </row>
    <row r="473" spans="1:10" x14ac:dyDescent="0.3">
      <c r="A473" s="15">
        <v>45809</v>
      </c>
      <c r="B473" s="17" t="s">
        <v>59</v>
      </c>
      <c r="C473" s="3" t="s">
        <v>5</v>
      </c>
      <c r="D473" s="3" t="str">
        <f>VLOOKUP(C473, Ref_Department!$A$2:$D$6, 2, FALSE)</f>
        <v>Human Resources</v>
      </c>
      <c r="E473" s="3" t="s">
        <v>8</v>
      </c>
      <c r="F473" s="3" t="str">
        <f>VLOOKUP(E473, Ref_GLAccount!$A$2:$D$9, 2, FALSE)</f>
        <v>IT Software &amp; Subscriptions</v>
      </c>
      <c r="G473" s="3" t="str">
        <f>VLOOKUP(E473, Ref_GLAccount!$A$2:$D$9, 3, FALSE)</f>
        <v>IT</v>
      </c>
      <c r="H473" s="6" t="s">
        <v>70</v>
      </c>
      <c r="I473" s="7">
        <v>5200</v>
      </c>
      <c r="J473" s="18" t="b">
        <f>IF(tblFactFinance[[#This Row],[MonthStart]] &lt;= Inputs!$B$1, TRUE, FALSE)</f>
        <v>1</v>
      </c>
    </row>
    <row r="474" spans="1:10" x14ac:dyDescent="0.3">
      <c r="A474" s="15">
        <v>45809</v>
      </c>
      <c r="B474" s="17" t="s">
        <v>59</v>
      </c>
      <c r="C474" s="3" t="s">
        <v>5</v>
      </c>
      <c r="D474" s="3" t="str">
        <f>VLOOKUP(C474, Ref_Department!$A$2:$D$6, 2, FALSE)</f>
        <v>Human Resources</v>
      </c>
      <c r="E474" s="3" t="s">
        <v>9</v>
      </c>
      <c r="F474" s="3" t="str">
        <f>VLOOKUP(E474, Ref_GLAccount!$A$2:$D$9, 2, FALSE)</f>
        <v>Marketing &amp; Advertising</v>
      </c>
      <c r="G474" s="3" t="str">
        <f>VLOOKUP(E474, Ref_GLAccount!$A$2:$D$9, 3, FALSE)</f>
        <v>Marketing</v>
      </c>
      <c r="H474" s="6" t="s">
        <v>66</v>
      </c>
      <c r="I474" s="7">
        <v>1276.96</v>
      </c>
      <c r="J474" s="18" t="b">
        <f>IF(tblFactFinance[[#This Row],[MonthStart]] &lt;= Inputs!$B$1, TRUE, FALSE)</f>
        <v>1</v>
      </c>
    </row>
    <row r="475" spans="1:10" x14ac:dyDescent="0.3">
      <c r="A475" s="15">
        <v>45809</v>
      </c>
      <c r="B475" s="17" t="s">
        <v>59</v>
      </c>
      <c r="C475" s="3" t="s">
        <v>5</v>
      </c>
      <c r="D475" s="3" t="str">
        <f>VLOOKUP(C475, Ref_Department!$A$2:$D$6, 2, FALSE)</f>
        <v>Human Resources</v>
      </c>
      <c r="E475" s="3" t="s">
        <v>9</v>
      </c>
      <c r="F475" s="3" t="str">
        <f>VLOOKUP(E475, Ref_GLAccount!$A$2:$D$9, 2, FALSE)</f>
        <v>Marketing &amp; Advertising</v>
      </c>
      <c r="G475" s="3" t="str">
        <f>VLOOKUP(E475, Ref_GLAccount!$A$2:$D$9, 3, FALSE)</f>
        <v>Marketing</v>
      </c>
      <c r="H475" s="6" t="s">
        <v>70</v>
      </c>
      <c r="I475" s="7">
        <v>1248</v>
      </c>
      <c r="J475" s="18" t="b">
        <f>IF(tblFactFinance[[#This Row],[MonthStart]] &lt;= Inputs!$B$1, TRUE, FALSE)</f>
        <v>1</v>
      </c>
    </row>
    <row r="476" spans="1:10" x14ac:dyDescent="0.3">
      <c r="A476" s="15">
        <v>45809</v>
      </c>
      <c r="B476" s="17" t="s">
        <v>59</v>
      </c>
      <c r="C476" s="3" t="s">
        <v>5</v>
      </c>
      <c r="D476" s="3" t="str">
        <f>VLOOKUP(C476, Ref_Department!$A$2:$D$6, 2, FALSE)</f>
        <v>Human Resources</v>
      </c>
      <c r="E476" s="3" t="s">
        <v>10</v>
      </c>
      <c r="F476" s="3" t="str">
        <f>VLOOKUP(E476, Ref_GLAccount!$A$2:$D$9, 2, FALSE)</f>
        <v>Professional Services</v>
      </c>
      <c r="G476" s="3" t="str">
        <f>VLOOKUP(E476, Ref_GLAccount!$A$2:$D$9, 3, FALSE)</f>
        <v>Professional Services</v>
      </c>
      <c r="H476" s="6" t="s">
        <v>66</v>
      </c>
      <c r="I476" s="7">
        <v>3570.37</v>
      </c>
      <c r="J476" s="18" t="b">
        <f>IF(tblFactFinance[[#This Row],[MonthStart]] &lt;= Inputs!$B$1, TRUE, FALSE)</f>
        <v>1</v>
      </c>
    </row>
    <row r="477" spans="1:10" x14ac:dyDescent="0.3">
      <c r="A477" s="15">
        <v>45809</v>
      </c>
      <c r="B477" s="17" t="s">
        <v>59</v>
      </c>
      <c r="C477" s="3" t="s">
        <v>5</v>
      </c>
      <c r="D477" s="3" t="str">
        <f>VLOOKUP(C477, Ref_Department!$A$2:$D$6, 2, FALSE)</f>
        <v>Human Resources</v>
      </c>
      <c r="E477" s="3" t="s">
        <v>10</v>
      </c>
      <c r="F477" s="3" t="str">
        <f>VLOOKUP(E477, Ref_GLAccount!$A$2:$D$9, 2, FALSE)</f>
        <v>Professional Services</v>
      </c>
      <c r="G477" s="3" t="str">
        <f>VLOOKUP(E477, Ref_GLAccount!$A$2:$D$9, 3, FALSE)</f>
        <v>Professional Services</v>
      </c>
      <c r="H477" s="6" t="s">
        <v>70</v>
      </c>
      <c r="I477" s="7">
        <v>3640</v>
      </c>
      <c r="J477" s="18" t="b">
        <f>IF(tblFactFinance[[#This Row],[MonthStart]] &lt;= Inputs!$B$1, TRUE, FALSE)</f>
        <v>1</v>
      </c>
    </row>
    <row r="478" spans="1:10" x14ac:dyDescent="0.3">
      <c r="A478" s="15">
        <v>45809</v>
      </c>
      <c r="B478" s="17" t="s">
        <v>59</v>
      </c>
      <c r="C478" s="3" t="s">
        <v>5</v>
      </c>
      <c r="D478" s="3" t="str">
        <f>VLOOKUP(C478, Ref_Department!$A$2:$D$6, 2, FALSE)</f>
        <v>Human Resources</v>
      </c>
      <c r="E478" s="3" t="s">
        <v>11</v>
      </c>
      <c r="F478" s="3" t="str">
        <f>VLOOKUP(E478, Ref_GLAccount!$A$2:$D$9, 2, FALSE)</f>
        <v>Office Supplies</v>
      </c>
      <c r="G478" s="3" t="str">
        <f>VLOOKUP(E478, Ref_GLAccount!$A$2:$D$9, 3, FALSE)</f>
        <v>Other OPEX</v>
      </c>
      <c r="H478" s="6" t="s">
        <v>66</v>
      </c>
      <c r="I478" s="7">
        <v>595.25</v>
      </c>
      <c r="J478" s="18" t="b">
        <f>IF(tblFactFinance[[#This Row],[MonthStart]] &lt;= Inputs!$B$1, TRUE, FALSE)</f>
        <v>1</v>
      </c>
    </row>
    <row r="479" spans="1:10" x14ac:dyDescent="0.3">
      <c r="A479" s="15">
        <v>45809</v>
      </c>
      <c r="B479" s="17" t="s">
        <v>59</v>
      </c>
      <c r="C479" s="3" t="s">
        <v>5</v>
      </c>
      <c r="D479" s="3" t="str">
        <f>VLOOKUP(C479, Ref_Department!$A$2:$D$6, 2, FALSE)</f>
        <v>Human Resources</v>
      </c>
      <c r="E479" s="3" t="s">
        <v>11</v>
      </c>
      <c r="F479" s="3" t="str">
        <f>VLOOKUP(E479, Ref_GLAccount!$A$2:$D$9, 2, FALSE)</f>
        <v>Office Supplies</v>
      </c>
      <c r="G479" s="3" t="str">
        <f>VLOOKUP(E479, Ref_GLAccount!$A$2:$D$9, 3, FALSE)</f>
        <v>Other OPEX</v>
      </c>
      <c r="H479" s="6" t="s">
        <v>70</v>
      </c>
      <c r="I479" s="7">
        <v>624</v>
      </c>
      <c r="J479" s="18" t="b">
        <f>IF(tblFactFinance[[#This Row],[MonthStart]] &lt;= Inputs!$B$1, TRUE, FALSE)</f>
        <v>1</v>
      </c>
    </row>
    <row r="480" spans="1:10" x14ac:dyDescent="0.3">
      <c r="A480" s="15">
        <v>45809</v>
      </c>
      <c r="B480" s="17" t="s">
        <v>59</v>
      </c>
      <c r="C480" s="3" t="s">
        <v>5</v>
      </c>
      <c r="D480" s="3" t="str">
        <f>VLOOKUP(C480, Ref_Department!$A$2:$D$6, 2, FALSE)</f>
        <v>Human Resources</v>
      </c>
      <c r="E480" s="3" t="s">
        <v>12</v>
      </c>
      <c r="F480" s="3" t="str">
        <f>VLOOKUP(E480, Ref_GLAccount!$A$2:$D$9, 2, FALSE)</f>
        <v>Training &amp; Development</v>
      </c>
      <c r="G480" s="3" t="str">
        <f>VLOOKUP(E480, Ref_GLAccount!$A$2:$D$9, 3, FALSE)</f>
        <v>Other OPEX</v>
      </c>
      <c r="H480" s="6" t="s">
        <v>66</v>
      </c>
      <c r="I480" s="7">
        <v>1612.23</v>
      </c>
      <c r="J480" s="18" t="b">
        <f>IF(tblFactFinance[[#This Row],[MonthStart]] &lt;= Inputs!$B$1, TRUE, FALSE)</f>
        <v>1</v>
      </c>
    </row>
    <row r="481" spans="1:10" x14ac:dyDescent="0.3">
      <c r="A481" s="15">
        <v>45809</v>
      </c>
      <c r="B481" s="17" t="s">
        <v>59</v>
      </c>
      <c r="C481" s="3" t="s">
        <v>5</v>
      </c>
      <c r="D481" s="3" t="str">
        <f>VLOOKUP(C481, Ref_Department!$A$2:$D$6, 2, FALSE)</f>
        <v>Human Resources</v>
      </c>
      <c r="E481" s="3" t="s">
        <v>12</v>
      </c>
      <c r="F481" s="3" t="str">
        <f>VLOOKUP(E481, Ref_GLAccount!$A$2:$D$9, 2, FALSE)</f>
        <v>Training &amp; Development</v>
      </c>
      <c r="G481" s="3" t="str">
        <f>VLOOKUP(E481, Ref_GLAccount!$A$2:$D$9, 3, FALSE)</f>
        <v>Other OPEX</v>
      </c>
      <c r="H481" s="6" t="s">
        <v>70</v>
      </c>
      <c r="I481" s="7">
        <v>1664</v>
      </c>
      <c r="J481" s="18" t="b">
        <f>IF(tblFactFinance[[#This Row],[MonthStart]] &lt;= Inputs!$B$1, TRUE, FALSE)</f>
        <v>1</v>
      </c>
    </row>
    <row r="482" spans="1:10" x14ac:dyDescent="0.3">
      <c r="A482" s="15">
        <v>45839</v>
      </c>
      <c r="B482" s="17" t="s">
        <v>60</v>
      </c>
      <c r="C482" s="3" t="s">
        <v>1</v>
      </c>
      <c r="D482" s="3" t="str">
        <f>VLOOKUP(C482, Ref_Department!$A$2:$D$6, 2, FALSE)</f>
        <v>Branch Operations</v>
      </c>
      <c r="E482" s="3" t="s">
        <v>33</v>
      </c>
      <c r="F482" s="3" t="str">
        <f>VLOOKUP(E482, Ref_GLAccount!$A$2:$D$9, 2, FALSE)</f>
        <v>Salaries</v>
      </c>
      <c r="G482" s="3" t="str">
        <f>VLOOKUP(E482, Ref_GLAccount!$A$2:$D$9, 3, FALSE)</f>
        <v>Personnel</v>
      </c>
      <c r="H482" s="6" t="s">
        <v>66</v>
      </c>
      <c r="I482" s="7">
        <v>191554.87</v>
      </c>
      <c r="J482" s="18" t="b">
        <f>IF(tblFactFinance[[#This Row],[MonthStart]] &lt;= Inputs!$B$1, TRUE, FALSE)</f>
        <v>1</v>
      </c>
    </row>
    <row r="483" spans="1:10" x14ac:dyDescent="0.3">
      <c r="A483" s="15">
        <v>45839</v>
      </c>
      <c r="B483" s="17" t="s">
        <v>60</v>
      </c>
      <c r="C483" s="3" t="s">
        <v>1</v>
      </c>
      <c r="D483" s="3" t="str">
        <f>VLOOKUP(C483, Ref_Department!$A$2:$D$6, 2, FALSE)</f>
        <v>Branch Operations</v>
      </c>
      <c r="E483" s="3" t="s">
        <v>33</v>
      </c>
      <c r="F483" s="3" t="str">
        <f>VLOOKUP(E483, Ref_GLAccount!$A$2:$D$9, 2, FALSE)</f>
        <v>Salaries</v>
      </c>
      <c r="G483" s="3" t="str">
        <f>VLOOKUP(E483, Ref_GLAccount!$A$2:$D$9, 3, FALSE)</f>
        <v>Personnel</v>
      </c>
      <c r="H483" s="6" t="s">
        <v>70</v>
      </c>
      <c r="I483" s="7">
        <v>200850</v>
      </c>
      <c r="J483" s="18" t="b">
        <f>IF(tblFactFinance[[#This Row],[MonthStart]] &lt;= Inputs!$B$1, TRUE, FALSE)</f>
        <v>1</v>
      </c>
    </row>
    <row r="484" spans="1:10" x14ac:dyDescent="0.3">
      <c r="A484" s="15">
        <v>45839</v>
      </c>
      <c r="B484" s="17" t="s">
        <v>60</v>
      </c>
      <c r="C484" s="3" t="s">
        <v>1</v>
      </c>
      <c r="D484" s="3" t="str">
        <f>VLOOKUP(C484, Ref_Department!$A$2:$D$6, 2, FALSE)</f>
        <v>Branch Operations</v>
      </c>
      <c r="E484" s="3" t="s">
        <v>37</v>
      </c>
      <c r="F484" s="3" t="str">
        <f>VLOOKUP(E484, Ref_GLAccount!$A$2:$D$9, 2, FALSE)</f>
        <v>Benefits</v>
      </c>
      <c r="G484" s="3" t="str">
        <f>VLOOKUP(E484, Ref_GLAccount!$A$2:$D$9, 3, FALSE)</f>
        <v>Personnel</v>
      </c>
      <c r="H484" s="6" t="s">
        <v>66</v>
      </c>
      <c r="I484" s="7">
        <v>45324.21</v>
      </c>
      <c r="J484" s="18" t="b">
        <f>IF(tblFactFinance[[#This Row],[MonthStart]] &lt;= Inputs!$B$1, TRUE, FALSE)</f>
        <v>1</v>
      </c>
    </row>
    <row r="485" spans="1:10" x14ac:dyDescent="0.3">
      <c r="A485" s="15">
        <v>45839</v>
      </c>
      <c r="B485" s="17" t="s">
        <v>60</v>
      </c>
      <c r="C485" s="3" t="s">
        <v>1</v>
      </c>
      <c r="D485" s="3" t="str">
        <f>VLOOKUP(C485, Ref_Department!$A$2:$D$6, 2, FALSE)</f>
        <v>Branch Operations</v>
      </c>
      <c r="E485" s="3" t="s">
        <v>37</v>
      </c>
      <c r="F485" s="3" t="str">
        <f>VLOOKUP(E485, Ref_GLAccount!$A$2:$D$9, 2, FALSE)</f>
        <v>Benefits</v>
      </c>
      <c r="G485" s="3" t="str">
        <f>VLOOKUP(E485, Ref_GLAccount!$A$2:$D$9, 3, FALSE)</f>
        <v>Personnel</v>
      </c>
      <c r="H485" s="6" t="s">
        <v>70</v>
      </c>
      <c r="I485" s="7">
        <v>44187</v>
      </c>
      <c r="J485" s="18" t="b">
        <f>IF(tblFactFinance[[#This Row],[MonthStart]] &lt;= Inputs!$B$1, TRUE, FALSE)</f>
        <v>1</v>
      </c>
    </row>
    <row r="486" spans="1:10" x14ac:dyDescent="0.3">
      <c r="A486" s="15">
        <v>45839</v>
      </c>
      <c r="B486" s="17" t="s">
        <v>60</v>
      </c>
      <c r="C486" s="3" t="s">
        <v>1</v>
      </c>
      <c r="D486" s="3" t="str">
        <f>VLOOKUP(C486, Ref_Department!$A$2:$D$6, 2, FALSE)</f>
        <v>Branch Operations</v>
      </c>
      <c r="E486" s="3" t="s">
        <v>7</v>
      </c>
      <c r="F486" s="3" t="str">
        <f>VLOOKUP(E486, Ref_GLAccount!$A$2:$D$9, 2, FALSE)</f>
        <v>Occupancy &amp; Facilities</v>
      </c>
      <c r="G486" s="3" t="str">
        <f>VLOOKUP(E486, Ref_GLAccount!$A$2:$D$9, 3, FALSE)</f>
        <v>Facilities</v>
      </c>
      <c r="H486" s="6" t="s">
        <v>66</v>
      </c>
      <c r="I486" s="7">
        <v>34485.33</v>
      </c>
      <c r="J486" s="18" t="b">
        <f>IF(tblFactFinance[[#This Row],[MonthStart]] &lt;= Inputs!$B$1, TRUE, FALSE)</f>
        <v>1</v>
      </c>
    </row>
    <row r="487" spans="1:10" x14ac:dyDescent="0.3">
      <c r="A487" s="15">
        <v>45839</v>
      </c>
      <c r="B487" s="17" t="s">
        <v>60</v>
      </c>
      <c r="C487" s="3" t="s">
        <v>1</v>
      </c>
      <c r="D487" s="3" t="str">
        <f>VLOOKUP(C487, Ref_Department!$A$2:$D$6, 2, FALSE)</f>
        <v>Branch Operations</v>
      </c>
      <c r="E487" s="3" t="s">
        <v>7</v>
      </c>
      <c r="F487" s="3" t="str">
        <f>VLOOKUP(E487, Ref_GLAccount!$A$2:$D$9, 2, FALSE)</f>
        <v>Occupancy &amp; Facilities</v>
      </c>
      <c r="G487" s="3" t="str">
        <f>VLOOKUP(E487, Ref_GLAccount!$A$2:$D$9, 3, FALSE)</f>
        <v>Facilities</v>
      </c>
      <c r="H487" s="6" t="s">
        <v>70</v>
      </c>
      <c r="I487" s="7">
        <v>38000</v>
      </c>
      <c r="J487" s="18" t="b">
        <f>IF(tblFactFinance[[#This Row],[MonthStart]] &lt;= Inputs!$B$1, TRUE, FALSE)</f>
        <v>1</v>
      </c>
    </row>
    <row r="488" spans="1:10" x14ac:dyDescent="0.3">
      <c r="A488" s="15">
        <v>45839</v>
      </c>
      <c r="B488" s="17" t="s">
        <v>60</v>
      </c>
      <c r="C488" s="3" t="s">
        <v>1</v>
      </c>
      <c r="D488" s="3" t="str">
        <f>VLOOKUP(C488, Ref_Department!$A$2:$D$6, 2, FALSE)</f>
        <v>Branch Operations</v>
      </c>
      <c r="E488" s="3" t="s">
        <v>8</v>
      </c>
      <c r="F488" s="3" t="str">
        <f>VLOOKUP(E488, Ref_GLAccount!$A$2:$D$9, 2, FALSE)</f>
        <v>IT Software &amp; Subscriptions</v>
      </c>
      <c r="G488" s="3" t="str">
        <f>VLOOKUP(E488, Ref_GLAccount!$A$2:$D$9, 3, FALSE)</f>
        <v>IT</v>
      </c>
      <c r="H488" s="6" t="s">
        <v>66</v>
      </c>
      <c r="I488" s="7">
        <v>12313.63</v>
      </c>
      <c r="J488" s="18" t="b">
        <f>IF(tblFactFinance[[#This Row],[MonthStart]] &lt;= Inputs!$B$1, TRUE, FALSE)</f>
        <v>1</v>
      </c>
    </row>
    <row r="489" spans="1:10" x14ac:dyDescent="0.3">
      <c r="A489" s="15">
        <v>45839</v>
      </c>
      <c r="B489" s="17" t="s">
        <v>60</v>
      </c>
      <c r="C489" s="3" t="s">
        <v>1</v>
      </c>
      <c r="D489" s="3" t="str">
        <f>VLOOKUP(C489, Ref_Department!$A$2:$D$6, 2, FALSE)</f>
        <v>Branch Operations</v>
      </c>
      <c r="E489" s="3" t="s">
        <v>8</v>
      </c>
      <c r="F489" s="3" t="str">
        <f>VLOOKUP(E489, Ref_GLAccount!$A$2:$D$9, 2, FALSE)</f>
        <v>IT Software &amp; Subscriptions</v>
      </c>
      <c r="G489" s="3" t="str">
        <f>VLOOKUP(E489, Ref_GLAccount!$A$2:$D$9, 3, FALSE)</f>
        <v>IT</v>
      </c>
      <c r="H489" s="6" t="s">
        <v>70</v>
      </c>
      <c r="I489" s="7">
        <v>12480</v>
      </c>
      <c r="J489" s="18" t="b">
        <f>IF(tblFactFinance[[#This Row],[MonthStart]] &lt;= Inputs!$B$1, TRUE, FALSE)</f>
        <v>1</v>
      </c>
    </row>
    <row r="490" spans="1:10" x14ac:dyDescent="0.3">
      <c r="A490" s="15">
        <v>45839</v>
      </c>
      <c r="B490" s="17" t="s">
        <v>60</v>
      </c>
      <c r="C490" s="3" t="s">
        <v>1</v>
      </c>
      <c r="D490" s="3" t="str">
        <f>VLOOKUP(C490, Ref_Department!$A$2:$D$6, 2, FALSE)</f>
        <v>Branch Operations</v>
      </c>
      <c r="E490" s="3" t="s">
        <v>9</v>
      </c>
      <c r="F490" s="3" t="str">
        <f>VLOOKUP(E490, Ref_GLAccount!$A$2:$D$9, 2, FALSE)</f>
        <v>Marketing &amp; Advertising</v>
      </c>
      <c r="G490" s="3" t="str">
        <f>VLOOKUP(E490, Ref_GLAccount!$A$2:$D$9, 3, FALSE)</f>
        <v>Marketing</v>
      </c>
      <c r="H490" s="6" t="s">
        <v>66</v>
      </c>
      <c r="I490" s="7">
        <v>4234.8599999999997</v>
      </c>
      <c r="J490" s="18" t="b">
        <f>IF(tblFactFinance[[#This Row],[MonthStart]] &lt;= Inputs!$B$1, TRUE, FALSE)</f>
        <v>1</v>
      </c>
    </row>
    <row r="491" spans="1:10" x14ac:dyDescent="0.3">
      <c r="A491" s="15">
        <v>45839</v>
      </c>
      <c r="B491" s="17" t="s">
        <v>60</v>
      </c>
      <c r="C491" s="3" t="s">
        <v>1</v>
      </c>
      <c r="D491" s="3" t="str">
        <f>VLOOKUP(C491, Ref_Department!$A$2:$D$6, 2, FALSE)</f>
        <v>Branch Operations</v>
      </c>
      <c r="E491" s="3" t="s">
        <v>9</v>
      </c>
      <c r="F491" s="3" t="str">
        <f>VLOOKUP(E491, Ref_GLAccount!$A$2:$D$9, 2, FALSE)</f>
        <v>Marketing &amp; Advertising</v>
      </c>
      <c r="G491" s="3" t="str">
        <f>VLOOKUP(E491, Ref_GLAccount!$A$2:$D$9, 3, FALSE)</f>
        <v>Marketing</v>
      </c>
      <c r="H491" s="6" t="s">
        <v>70</v>
      </c>
      <c r="I491" s="7">
        <v>4160</v>
      </c>
      <c r="J491" s="18" t="b">
        <f>IF(tblFactFinance[[#This Row],[MonthStart]] &lt;= Inputs!$B$1, TRUE, FALSE)</f>
        <v>1</v>
      </c>
    </row>
    <row r="492" spans="1:10" x14ac:dyDescent="0.3">
      <c r="A492" s="15">
        <v>45839</v>
      </c>
      <c r="B492" s="17" t="s">
        <v>60</v>
      </c>
      <c r="C492" s="3" t="s">
        <v>1</v>
      </c>
      <c r="D492" s="3" t="str">
        <f>VLOOKUP(C492, Ref_Department!$A$2:$D$6, 2, FALSE)</f>
        <v>Branch Operations</v>
      </c>
      <c r="E492" s="3" t="s">
        <v>10</v>
      </c>
      <c r="F492" s="3" t="str">
        <f>VLOOKUP(E492, Ref_GLAccount!$A$2:$D$9, 2, FALSE)</f>
        <v>Professional Services</v>
      </c>
      <c r="G492" s="3" t="str">
        <f>VLOOKUP(E492, Ref_GLAccount!$A$2:$D$9, 3, FALSE)</f>
        <v>Professional Services</v>
      </c>
      <c r="H492" s="6" t="s">
        <v>66</v>
      </c>
      <c r="I492" s="7">
        <v>5516.58</v>
      </c>
      <c r="J492" s="18" t="b">
        <f>IF(tblFactFinance[[#This Row],[MonthStart]] &lt;= Inputs!$B$1, TRUE, FALSE)</f>
        <v>1</v>
      </c>
    </row>
    <row r="493" spans="1:10" x14ac:dyDescent="0.3">
      <c r="A493" s="15">
        <v>45839</v>
      </c>
      <c r="B493" s="17" t="s">
        <v>60</v>
      </c>
      <c r="C493" s="3" t="s">
        <v>1</v>
      </c>
      <c r="D493" s="3" t="str">
        <f>VLOOKUP(C493, Ref_Department!$A$2:$D$6, 2, FALSE)</f>
        <v>Branch Operations</v>
      </c>
      <c r="E493" s="3" t="s">
        <v>10</v>
      </c>
      <c r="F493" s="3" t="str">
        <f>VLOOKUP(E493, Ref_GLAccount!$A$2:$D$9, 2, FALSE)</f>
        <v>Professional Services</v>
      </c>
      <c r="G493" s="3" t="str">
        <f>VLOOKUP(E493, Ref_GLAccount!$A$2:$D$9, 3, FALSE)</f>
        <v>Professional Services</v>
      </c>
      <c r="H493" s="6" t="s">
        <v>70</v>
      </c>
      <c r="I493" s="7">
        <v>5200</v>
      </c>
      <c r="J493" s="18" t="b">
        <f>IF(tblFactFinance[[#This Row],[MonthStart]] &lt;= Inputs!$B$1, TRUE, FALSE)</f>
        <v>1</v>
      </c>
    </row>
    <row r="494" spans="1:10" x14ac:dyDescent="0.3">
      <c r="A494" s="15">
        <v>45839</v>
      </c>
      <c r="B494" s="17" t="s">
        <v>60</v>
      </c>
      <c r="C494" s="3" t="s">
        <v>1</v>
      </c>
      <c r="D494" s="3" t="str">
        <f>VLOOKUP(C494, Ref_Department!$A$2:$D$6, 2, FALSE)</f>
        <v>Branch Operations</v>
      </c>
      <c r="E494" s="3" t="s">
        <v>11</v>
      </c>
      <c r="F494" s="3" t="str">
        <f>VLOOKUP(E494, Ref_GLAccount!$A$2:$D$9, 2, FALSE)</f>
        <v>Office Supplies</v>
      </c>
      <c r="G494" s="3" t="str">
        <f>VLOOKUP(E494, Ref_GLAccount!$A$2:$D$9, 3, FALSE)</f>
        <v>Other OPEX</v>
      </c>
      <c r="H494" s="6" t="s">
        <v>66</v>
      </c>
      <c r="I494" s="7">
        <v>1564.45</v>
      </c>
      <c r="J494" s="18" t="b">
        <f>IF(tblFactFinance[[#This Row],[MonthStart]] &lt;= Inputs!$B$1, TRUE, FALSE)</f>
        <v>1</v>
      </c>
    </row>
    <row r="495" spans="1:10" x14ac:dyDescent="0.3">
      <c r="A495" s="15">
        <v>45839</v>
      </c>
      <c r="B495" s="17" t="s">
        <v>60</v>
      </c>
      <c r="C495" s="3" t="s">
        <v>1</v>
      </c>
      <c r="D495" s="3" t="str">
        <f>VLOOKUP(C495, Ref_Department!$A$2:$D$6, 2, FALSE)</f>
        <v>Branch Operations</v>
      </c>
      <c r="E495" s="3" t="s">
        <v>11</v>
      </c>
      <c r="F495" s="3" t="str">
        <f>VLOOKUP(E495, Ref_GLAccount!$A$2:$D$9, 2, FALSE)</f>
        <v>Office Supplies</v>
      </c>
      <c r="G495" s="3" t="str">
        <f>VLOOKUP(E495, Ref_GLAccount!$A$2:$D$9, 3, FALSE)</f>
        <v>Other OPEX</v>
      </c>
      <c r="H495" s="6" t="s">
        <v>70</v>
      </c>
      <c r="I495" s="7">
        <v>1560</v>
      </c>
      <c r="J495" s="18" t="b">
        <f>IF(tblFactFinance[[#This Row],[MonthStart]] &lt;= Inputs!$B$1, TRUE, FALSE)</f>
        <v>1</v>
      </c>
    </row>
    <row r="496" spans="1:10" x14ac:dyDescent="0.3">
      <c r="A496" s="15">
        <v>45839</v>
      </c>
      <c r="B496" s="17" t="s">
        <v>60</v>
      </c>
      <c r="C496" s="3" t="s">
        <v>1</v>
      </c>
      <c r="D496" s="3" t="str">
        <f>VLOOKUP(C496, Ref_Department!$A$2:$D$6, 2, FALSE)</f>
        <v>Branch Operations</v>
      </c>
      <c r="E496" s="3" t="s">
        <v>12</v>
      </c>
      <c r="F496" s="3" t="str">
        <f>VLOOKUP(E496, Ref_GLAccount!$A$2:$D$9, 2, FALSE)</f>
        <v>Training &amp; Development</v>
      </c>
      <c r="G496" s="3" t="str">
        <f>VLOOKUP(E496, Ref_GLAccount!$A$2:$D$9, 3, FALSE)</f>
        <v>Other OPEX</v>
      </c>
      <c r="H496" s="6" t="s">
        <v>66</v>
      </c>
      <c r="I496" s="7">
        <v>1297.98</v>
      </c>
      <c r="J496" s="18" t="b">
        <f>IF(tblFactFinance[[#This Row],[MonthStart]] &lt;= Inputs!$B$1, TRUE, FALSE)</f>
        <v>1</v>
      </c>
    </row>
    <row r="497" spans="1:10" x14ac:dyDescent="0.3">
      <c r="A497" s="15">
        <v>45839</v>
      </c>
      <c r="B497" s="17" t="s">
        <v>60</v>
      </c>
      <c r="C497" s="3" t="s">
        <v>1</v>
      </c>
      <c r="D497" s="3" t="str">
        <f>VLOOKUP(C497, Ref_Department!$A$2:$D$6, 2, FALSE)</f>
        <v>Branch Operations</v>
      </c>
      <c r="E497" s="3" t="s">
        <v>12</v>
      </c>
      <c r="F497" s="3" t="str">
        <f>VLOOKUP(E497, Ref_GLAccount!$A$2:$D$9, 2, FALSE)</f>
        <v>Training &amp; Development</v>
      </c>
      <c r="G497" s="3" t="str">
        <f>VLOOKUP(E497, Ref_GLAccount!$A$2:$D$9, 3, FALSE)</f>
        <v>Other OPEX</v>
      </c>
      <c r="H497" s="6" t="s">
        <v>70</v>
      </c>
      <c r="I497" s="7">
        <v>1248</v>
      </c>
      <c r="J497" s="18" t="b">
        <f>IF(tblFactFinance[[#This Row],[MonthStart]] &lt;= Inputs!$B$1, TRUE, FALSE)</f>
        <v>1</v>
      </c>
    </row>
    <row r="498" spans="1:10" x14ac:dyDescent="0.3">
      <c r="A498" s="15">
        <v>45839</v>
      </c>
      <c r="B498" s="17" t="s">
        <v>60</v>
      </c>
      <c r="C498" s="3" t="s">
        <v>2</v>
      </c>
      <c r="D498" s="3" t="str">
        <f>VLOOKUP(C498, Ref_Department!$A$2:$D$6, 2, FALSE)</f>
        <v>Lending</v>
      </c>
      <c r="E498" s="3" t="s">
        <v>33</v>
      </c>
      <c r="F498" s="3" t="str">
        <f>VLOOKUP(E498, Ref_GLAccount!$A$2:$D$9, 2, FALSE)</f>
        <v>Salaries</v>
      </c>
      <c r="G498" s="3" t="str">
        <f>VLOOKUP(E498, Ref_GLAccount!$A$2:$D$9, 3, FALSE)</f>
        <v>Personnel</v>
      </c>
      <c r="H498" s="6" t="s">
        <v>66</v>
      </c>
      <c r="I498" s="7">
        <v>170278.25</v>
      </c>
      <c r="J498" s="18" t="b">
        <f>IF(tblFactFinance[[#This Row],[MonthStart]] &lt;= Inputs!$B$1, TRUE, FALSE)</f>
        <v>1</v>
      </c>
    </row>
    <row r="499" spans="1:10" x14ac:dyDescent="0.3">
      <c r="A499" s="15">
        <v>45839</v>
      </c>
      <c r="B499" s="17" t="s">
        <v>60</v>
      </c>
      <c r="C499" s="3" t="s">
        <v>2</v>
      </c>
      <c r="D499" s="3" t="str">
        <f>VLOOKUP(C499, Ref_Department!$A$2:$D$6, 2, FALSE)</f>
        <v>Lending</v>
      </c>
      <c r="E499" s="3" t="s">
        <v>33</v>
      </c>
      <c r="F499" s="3" t="str">
        <f>VLOOKUP(E499, Ref_GLAccount!$A$2:$D$9, 2, FALSE)</f>
        <v>Salaries</v>
      </c>
      <c r="G499" s="3" t="str">
        <f>VLOOKUP(E499, Ref_GLAccount!$A$2:$D$9, 3, FALSE)</f>
        <v>Personnel</v>
      </c>
      <c r="H499" s="6" t="s">
        <v>70</v>
      </c>
      <c r="I499" s="7">
        <v>173040</v>
      </c>
      <c r="J499" s="18" t="b">
        <f>IF(tblFactFinance[[#This Row],[MonthStart]] &lt;= Inputs!$B$1, TRUE, FALSE)</f>
        <v>1</v>
      </c>
    </row>
    <row r="500" spans="1:10" x14ac:dyDescent="0.3">
      <c r="A500" s="15">
        <v>45839</v>
      </c>
      <c r="B500" s="17" t="s">
        <v>60</v>
      </c>
      <c r="C500" s="3" t="s">
        <v>2</v>
      </c>
      <c r="D500" s="3" t="str">
        <f>VLOOKUP(C500, Ref_Department!$A$2:$D$6, 2, FALSE)</f>
        <v>Lending</v>
      </c>
      <c r="E500" s="3" t="s">
        <v>37</v>
      </c>
      <c r="F500" s="3" t="str">
        <f>VLOOKUP(E500, Ref_GLAccount!$A$2:$D$9, 2, FALSE)</f>
        <v>Benefits</v>
      </c>
      <c r="G500" s="3" t="str">
        <f>VLOOKUP(E500, Ref_GLAccount!$A$2:$D$9, 3, FALSE)</f>
        <v>Personnel</v>
      </c>
      <c r="H500" s="6" t="s">
        <v>66</v>
      </c>
      <c r="I500" s="7">
        <v>36935.26</v>
      </c>
      <c r="J500" s="18" t="b">
        <f>IF(tblFactFinance[[#This Row],[MonthStart]] &lt;= Inputs!$B$1, TRUE, FALSE)</f>
        <v>1</v>
      </c>
    </row>
    <row r="501" spans="1:10" x14ac:dyDescent="0.3">
      <c r="A501" s="15">
        <v>45839</v>
      </c>
      <c r="B501" s="17" t="s">
        <v>60</v>
      </c>
      <c r="C501" s="3" t="s">
        <v>2</v>
      </c>
      <c r="D501" s="3" t="str">
        <f>VLOOKUP(C501, Ref_Department!$A$2:$D$6, 2, FALSE)</f>
        <v>Lending</v>
      </c>
      <c r="E501" s="3" t="s">
        <v>37</v>
      </c>
      <c r="F501" s="3" t="str">
        <f>VLOOKUP(E501, Ref_GLAccount!$A$2:$D$9, 2, FALSE)</f>
        <v>Benefits</v>
      </c>
      <c r="G501" s="3" t="str">
        <f>VLOOKUP(E501, Ref_GLAccount!$A$2:$D$9, 3, FALSE)</f>
        <v>Personnel</v>
      </c>
      <c r="H501" s="6" t="s">
        <v>70</v>
      </c>
      <c r="I501" s="7">
        <v>38068.800000000003</v>
      </c>
      <c r="J501" s="18" t="b">
        <f>IF(tblFactFinance[[#This Row],[MonthStart]] &lt;= Inputs!$B$1, TRUE, FALSE)</f>
        <v>1</v>
      </c>
    </row>
    <row r="502" spans="1:10" x14ac:dyDescent="0.3">
      <c r="A502" s="15">
        <v>45839</v>
      </c>
      <c r="B502" s="17" t="s">
        <v>60</v>
      </c>
      <c r="C502" s="3" t="s">
        <v>2</v>
      </c>
      <c r="D502" s="3" t="str">
        <f>VLOOKUP(C502, Ref_Department!$A$2:$D$6, 2, FALSE)</f>
        <v>Lending</v>
      </c>
      <c r="E502" s="3" t="s">
        <v>7</v>
      </c>
      <c r="F502" s="3" t="str">
        <f>VLOOKUP(E502, Ref_GLAccount!$A$2:$D$9, 2, FALSE)</f>
        <v>Occupancy &amp; Facilities</v>
      </c>
      <c r="G502" s="3" t="str">
        <f>VLOOKUP(E502, Ref_GLAccount!$A$2:$D$9, 3, FALSE)</f>
        <v>Facilities</v>
      </c>
      <c r="H502" s="6" t="s">
        <v>66</v>
      </c>
      <c r="I502" s="7">
        <v>15568.39</v>
      </c>
      <c r="J502" s="18" t="b">
        <f>IF(tblFactFinance[[#This Row],[MonthStart]] &lt;= Inputs!$B$1, TRUE, FALSE)</f>
        <v>1</v>
      </c>
    </row>
    <row r="503" spans="1:10" x14ac:dyDescent="0.3">
      <c r="A503" s="15">
        <v>45839</v>
      </c>
      <c r="B503" s="17" t="s">
        <v>60</v>
      </c>
      <c r="C503" s="3" t="s">
        <v>2</v>
      </c>
      <c r="D503" s="3" t="str">
        <f>VLOOKUP(C503, Ref_Department!$A$2:$D$6, 2, FALSE)</f>
        <v>Lending</v>
      </c>
      <c r="E503" s="3" t="s">
        <v>7</v>
      </c>
      <c r="F503" s="3" t="str">
        <f>VLOOKUP(E503, Ref_GLAccount!$A$2:$D$9, 2, FALSE)</f>
        <v>Occupancy &amp; Facilities</v>
      </c>
      <c r="G503" s="3" t="str">
        <f>VLOOKUP(E503, Ref_GLAccount!$A$2:$D$9, 3, FALSE)</f>
        <v>Facilities</v>
      </c>
      <c r="H503" s="6" t="s">
        <v>70</v>
      </c>
      <c r="I503" s="7">
        <v>16000</v>
      </c>
      <c r="J503" s="18" t="b">
        <f>IF(tblFactFinance[[#This Row],[MonthStart]] &lt;= Inputs!$B$1, TRUE, FALSE)</f>
        <v>1</v>
      </c>
    </row>
    <row r="504" spans="1:10" x14ac:dyDescent="0.3">
      <c r="A504" s="15">
        <v>45839</v>
      </c>
      <c r="B504" s="17" t="s">
        <v>60</v>
      </c>
      <c r="C504" s="3" t="s">
        <v>2</v>
      </c>
      <c r="D504" s="3" t="str">
        <f>VLOOKUP(C504, Ref_Department!$A$2:$D$6, 2, FALSE)</f>
        <v>Lending</v>
      </c>
      <c r="E504" s="3" t="s">
        <v>8</v>
      </c>
      <c r="F504" s="3" t="str">
        <f>VLOOKUP(E504, Ref_GLAccount!$A$2:$D$9, 2, FALSE)</f>
        <v>IT Software &amp; Subscriptions</v>
      </c>
      <c r="G504" s="3" t="str">
        <f>VLOOKUP(E504, Ref_GLAccount!$A$2:$D$9, 3, FALSE)</f>
        <v>IT</v>
      </c>
      <c r="H504" s="6" t="s">
        <v>66</v>
      </c>
      <c r="I504" s="7">
        <v>9931.83</v>
      </c>
      <c r="J504" s="18" t="b">
        <f>IF(tblFactFinance[[#This Row],[MonthStart]] &lt;= Inputs!$B$1, TRUE, FALSE)</f>
        <v>1</v>
      </c>
    </row>
    <row r="505" spans="1:10" x14ac:dyDescent="0.3">
      <c r="A505" s="15">
        <v>45839</v>
      </c>
      <c r="B505" s="17" t="s">
        <v>60</v>
      </c>
      <c r="C505" s="3" t="s">
        <v>2</v>
      </c>
      <c r="D505" s="3" t="str">
        <f>VLOOKUP(C505, Ref_Department!$A$2:$D$6, 2, FALSE)</f>
        <v>Lending</v>
      </c>
      <c r="E505" s="3" t="s">
        <v>8</v>
      </c>
      <c r="F505" s="3" t="str">
        <f>VLOOKUP(E505, Ref_GLAccount!$A$2:$D$9, 2, FALSE)</f>
        <v>IT Software &amp; Subscriptions</v>
      </c>
      <c r="G505" s="3" t="str">
        <f>VLOOKUP(E505, Ref_GLAccount!$A$2:$D$9, 3, FALSE)</f>
        <v>IT</v>
      </c>
      <c r="H505" s="6" t="s">
        <v>70</v>
      </c>
      <c r="I505" s="7">
        <v>9360</v>
      </c>
      <c r="J505" s="18" t="b">
        <f>IF(tblFactFinance[[#This Row],[MonthStart]] &lt;= Inputs!$B$1, TRUE, FALSE)</f>
        <v>1</v>
      </c>
    </row>
    <row r="506" spans="1:10" x14ac:dyDescent="0.3">
      <c r="A506" s="15">
        <v>45839</v>
      </c>
      <c r="B506" s="17" t="s">
        <v>60</v>
      </c>
      <c r="C506" s="3" t="s">
        <v>2</v>
      </c>
      <c r="D506" s="3" t="str">
        <f>VLOOKUP(C506, Ref_Department!$A$2:$D$6, 2, FALSE)</f>
        <v>Lending</v>
      </c>
      <c r="E506" s="3" t="s">
        <v>9</v>
      </c>
      <c r="F506" s="3" t="str">
        <f>VLOOKUP(E506, Ref_GLAccount!$A$2:$D$9, 2, FALSE)</f>
        <v>Marketing &amp; Advertising</v>
      </c>
      <c r="G506" s="3" t="str">
        <f>VLOOKUP(E506, Ref_GLAccount!$A$2:$D$9, 3, FALSE)</f>
        <v>Marketing</v>
      </c>
      <c r="H506" s="6" t="s">
        <v>66</v>
      </c>
      <c r="I506" s="7">
        <v>6488.16</v>
      </c>
      <c r="J506" s="18" t="b">
        <f>IF(tblFactFinance[[#This Row],[MonthStart]] &lt;= Inputs!$B$1, TRUE, FALSE)</f>
        <v>1</v>
      </c>
    </row>
    <row r="507" spans="1:10" x14ac:dyDescent="0.3">
      <c r="A507" s="15">
        <v>45839</v>
      </c>
      <c r="B507" s="17" t="s">
        <v>60</v>
      </c>
      <c r="C507" s="3" t="s">
        <v>2</v>
      </c>
      <c r="D507" s="3" t="str">
        <f>VLOOKUP(C507, Ref_Department!$A$2:$D$6, 2, FALSE)</f>
        <v>Lending</v>
      </c>
      <c r="E507" s="3" t="s">
        <v>9</v>
      </c>
      <c r="F507" s="3" t="str">
        <f>VLOOKUP(E507, Ref_GLAccount!$A$2:$D$9, 2, FALSE)</f>
        <v>Marketing &amp; Advertising</v>
      </c>
      <c r="G507" s="3" t="str">
        <f>VLOOKUP(E507, Ref_GLAccount!$A$2:$D$9, 3, FALSE)</f>
        <v>Marketing</v>
      </c>
      <c r="H507" s="6" t="s">
        <v>70</v>
      </c>
      <c r="I507" s="7">
        <v>6240</v>
      </c>
      <c r="J507" s="18" t="b">
        <f>IF(tblFactFinance[[#This Row],[MonthStart]] &lt;= Inputs!$B$1, TRUE, FALSE)</f>
        <v>1</v>
      </c>
    </row>
    <row r="508" spans="1:10" x14ac:dyDescent="0.3">
      <c r="A508" s="15">
        <v>45839</v>
      </c>
      <c r="B508" s="17" t="s">
        <v>60</v>
      </c>
      <c r="C508" s="3" t="s">
        <v>2</v>
      </c>
      <c r="D508" s="3" t="str">
        <f>VLOOKUP(C508, Ref_Department!$A$2:$D$6, 2, FALSE)</f>
        <v>Lending</v>
      </c>
      <c r="E508" s="3" t="s">
        <v>10</v>
      </c>
      <c r="F508" s="3" t="str">
        <f>VLOOKUP(E508, Ref_GLAccount!$A$2:$D$9, 2, FALSE)</f>
        <v>Professional Services</v>
      </c>
      <c r="G508" s="3" t="str">
        <f>VLOOKUP(E508, Ref_GLAccount!$A$2:$D$9, 3, FALSE)</f>
        <v>Professional Services</v>
      </c>
      <c r="H508" s="6" t="s">
        <v>66</v>
      </c>
      <c r="I508" s="7">
        <v>8482.2099999999991</v>
      </c>
      <c r="J508" s="18" t="b">
        <f>IF(tblFactFinance[[#This Row],[MonthStart]] &lt;= Inputs!$B$1, TRUE, FALSE)</f>
        <v>1</v>
      </c>
    </row>
    <row r="509" spans="1:10" x14ac:dyDescent="0.3">
      <c r="A509" s="15">
        <v>45839</v>
      </c>
      <c r="B509" s="17" t="s">
        <v>60</v>
      </c>
      <c r="C509" s="3" t="s">
        <v>2</v>
      </c>
      <c r="D509" s="3" t="str">
        <f>VLOOKUP(C509, Ref_Department!$A$2:$D$6, 2, FALSE)</f>
        <v>Lending</v>
      </c>
      <c r="E509" s="3" t="s">
        <v>10</v>
      </c>
      <c r="F509" s="3" t="str">
        <f>VLOOKUP(E509, Ref_GLAccount!$A$2:$D$9, 2, FALSE)</f>
        <v>Professional Services</v>
      </c>
      <c r="G509" s="3" t="str">
        <f>VLOOKUP(E509, Ref_GLAccount!$A$2:$D$9, 3, FALSE)</f>
        <v>Professional Services</v>
      </c>
      <c r="H509" s="6" t="s">
        <v>70</v>
      </c>
      <c r="I509" s="7">
        <v>8320</v>
      </c>
      <c r="J509" s="18" t="b">
        <f>IF(tblFactFinance[[#This Row],[MonthStart]] &lt;= Inputs!$B$1, TRUE, FALSE)</f>
        <v>1</v>
      </c>
    </row>
    <row r="510" spans="1:10" x14ac:dyDescent="0.3">
      <c r="A510" s="15">
        <v>45839</v>
      </c>
      <c r="B510" s="17" t="s">
        <v>60</v>
      </c>
      <c r="C510" s="3" t="s">
        <v>2</v>
      </c>
      <c r="D510" s="3" t="str">
        <f>VLOOKUP(C510, Ref_Department!$A$2:$D$6, 2, FALSE)</f>
        <v>Lending</v>
      </c>
      <c r="E510" s="3" t="s">
        <v>11</v>
      </c>
      <c r="F510" s="3" t="str">
        <f>VLOOKUP(E510, Ref_GLAccount!$A$2:$D$9, 2, FALSE)</f>
        <v>Office Supplies</v>
      </c>
      <c r="G510" s="3" t="str">
        <f>VLOOKUP(E510, Ref_GLAccount!$A$2:$D$9, 3, FALSE)</f>
        <v>Other OPEX</v>
      </c>
      <c r="H510" s="6" t="s">
        <v>66</v>
      </c>
      <c r="I510" s="7">
        <v>1060.69</v>
      </c>
      <c r="J510" s="18" t="b">
        <f>IF(tblFactFinance[[#This Row],[MonthStart]] &lt;= Inputs!$B$1, TRUE, FALSE)</f>
        <v>1</v>
      </c>
    </row>
    <row r="511" spans="1:10" x14ac:dyDescent="0.3">
      <c r="A511" s="15">
        <v>45839</v>
      </c>
      <c r="B511" s="17" t="s">
        <v>60</v>
      </c>
      <c r="C511" s="3" t="s">
        <v>2</v>
      </c>
      <c r="D511" s="3" t="str">
        <f>VLOOKUP(C511, Ref_Department!$A$2:$D$6, 2, FALSE)</f>
        <v>Lending</v>
      </c>
      <c r="E511" s="3" t="s">
        <v>11</v>
      </c>
      <c r="F511" s="3" t="str">
        <f>VLOOKUP(E511, Ref_GLAccount!$A$2:$D$9, 2, FALSE)</f>
        <v>Office Supplies</v>
      </c>
      <c r="G511" s="3" t="str">
        <f>VLOOKUP(E511, Ref_GLAccount!$A$2:$D$9, 3, FALSE)</f>
        <v>Other OPEX</v>
      </c>
      <c r="H511" s="6" t="s">
        <v>70</v>
      </c>
      <c r="I511" s="7">
        <v>936</v>
      </c>
      <c r="J511" s="18" t="b">
        <f>IF(tblFactFinance[[#This Row],[MonthStart]] &lt;= Inputs!$B$1, TRUE, FALSE)</f>
        <v>1</v>
      </c>
    </row>
    <row r="512" spans="1:10" x14ac:dyDescent="0.3">
      <c r="A512" s="15">
        <v>45839</v>
      </c>
      <c r="B512" s="17" t="s">
        <v>60</v>
      </c>
      <c r="C512" s="3" t="s">
        <v>2</v>
      </c>
      <c r="D512" s="3" t="str">
        <f>VLOOKUP(C512, Ref_Department!$A$2:$D$6, 2, FALSE)</f>
        <v>Lending</v>
      </c>
      <c r="E512" s="3" t="s">
        <v>12</v>
      </c>
      <c r="F512" s="3" t="str">
        <f>VLOOKUP(E512, Ref_GLAccount!$A$2:$D$9, 2, FALSE)</f>
        <v>Training &amp; Development</v>
      </c>
      <c r="G512" s="3" t="str">
        <f>VLOOKUP(E512, Ref_GLAccount!$A$2:$D$9, 3, FALSE)</f>
        <v>Other OPEX</v>
      </c>
      <c r="H512" s="6" t="s">
        <v>66</v>
      </c>
      <c r="I512" s="7">
        <v>1454.12</v>
      </c>
      <c r="J512" s="18" t="b">
        <f>IF(tblFactFinance[[#This Row],[MonthStart]] &lt;= Inputs!$B$1, TRUE, FALSE)</f>
        <v>1</v>
      </c>
    </row>
    <row r="513" spans="1:10" x14ac:dyDescent="0.3">
      <c r="A513" s="15">
        <v>45839</v>
      </c>
      <c r="B513" s="17" t="s">
        <v>60</v>
      </c>
      <c r="C513" s="3" t="s">
        <v>2</v>
      </c>
      <c r="D513" s="3" t="str">
        <f>VLOOKUP(C513, Ref_Department!$A$2:$D$6, 2, FALSE)</f>
        <v>Lending</v>
      </c>
      <c r="E513" s="3" t="s">
        <v>12</v>
      </c>
      <c r="F513" s="3" t="str">
        <f>VLOOKUP(E513, Ref_GLAccount!$A$2:$D$9, 2, FALSE)</f>
        <v>Training &amp; Development</v>
      </c>
      <c r="G513" s="3" t="str">
        <f>VLOOKUP(E513, Ref_GLAccount!$A$2:$D$9, 3, FALSE)</f>
        <v>Other OPEX</v>
      </c>
      <c r="H513" s="6" t="s">
        <v>70</v>
      </c>
      <c r="I513" s="7">
        <v>1456</v>
      </c>
      <c r="J513" s="18" t="b">
        <f>IF(tblFactFinance[[#This Row],[MonthStart]] &lt;= Inputs!$B$1, TRUE, FALSE)</f>
        <v>1</v>
      </c>
    </row>
    <row r="514" spans="1:10" x14ac:dyDescent="0.3">
      <c r="A514" s="15">
        <v>45839</v>
      </c>
      <c r="B514" s="17" t="s">
        <v>60</v>
      </c>
      <c r="C514" s="3" t="s">
        <v>3</v>
      </c>
      <c r="D514" s="3" t="str">
        <f>VLOOKUP(C514, Ref_Department!$A$2:$D$6, 2, FALSE)</f>
        <v>Information Technology</v>
      </c>
      <c r="E514" s="3" t="s">
        <v>33</v>
      </c>
      <c r="F514" s="3" t="str">
        <f>VLOOKUP(E514, Ref_GLAccount!$A$2:$D$9, 2, FALSE)</f>
        <v>Salaries</v>
      </c>
      <c r="G514" s="3" t="str">
        <f>VLOOKUP(E514, Ref_GLAccount!$A$2:$D$9, 3, FALSE)</f>
        <v>Personnel</v>
      </c>
      <c r="H514" s="6" t="s">
        <v>66</v>
      </c>
      <c r="I514" s="7">
        <v>155167.09</v>
      </c>
      <c r="J514" s="18" t="b">
        <f>IF(tblFactFinance[[#This Row],[MonthStart]] &lt;= Inputs!$B$1, TRUE, FALSE)</f>
        <v>1</v>
      </c>
    </row>
    <row r="515" spans="1:10" x14ac:dyDescent="0.3">
      <c r="A515" s="15">
        <v>45839</v>
      </c>
      <c r="B515" s="17" t="s">
        <v>60</v>
      </c>
      <c r="C515" s="3" t="s">
        <v>3</v>
      </c>
      <c r="D515" s="3" t="str">
        <f>VLOOKUP(C515, Ref_Department!$A$2:$D$6, 2, FALSE)</f>
        <v>Information Technology</v>
      </c>
      <c r="E515" s="3" t="s">
        <v>33</v>
      </c>
      <c r="F515" s="3" t="str">
        <f>VLOOKUP(E515, Ref_GLAccount!$A$2:$D$9, 2, FALSE)</f>
        <v>Salaries</v>
      </c>
      <c r="G515" s="3" t="str">
        <f>VLOOKUP(E515, Ref_GLAccount!$A$2:$D$9, 3, FALSE)</f>
        <v>Personnel</v>
      </c>
      <c r="H515" s="6" t="s">
        <v>70</v>
      </c>
      <c r="I515" s="7">
        <v>151410</v>
      </c>
      <c r="J515" s="18" t="b">
        <f>IF(tblFactFinance[[#This Row],[MonthStart]] &lt;= Inputs!$B$1, TRUE, FALSE)</f>
        <v>1</v>
      </c>
    </row>
    <row r="516" spans="1:10" x14ac:dyDescent="0.3">
      <c r="A516" s="15">
        <v>45839</v>
      </c>
      <c r="B516" s="17" t="s">
        <v>60</v>
      </c>
      <c r="C516" s="3" t="s">
        <v>3</v>
      </c>
      <c r="D516" s="3" t="str">
        <f>VLOOKUP(C516, Ref_Department!$A$2:$D$6, 2, FALSE)</f>
        <v>Information Technology</v>
      </c>
      <c r="E516" s="3" t="s">
        <v>37</v>
      </c>
      <c r="F516" s="3" t="str">
        <f>VLOOKUP(E516, Ref_GLAccount!$A$2:$D$9, 2, FALSE)</f>
        <v>Benefits</v>
      </c>
      <c r="G516" s="3" t="str">
        <f>VLOOKUP(E516, Ref_GLAccount!$A$2:$D$9, 3, FALSE)</f>
        <v>Personnel</v>
      </c>
      <c r="H516" s="6" t="s">
        <v>66</v>
      </c>
      <c r="I516" s="7">
        <v>33720.04</v>
      </c>
      <c r="J516" s="18" t="b">
        <f>IF(tblFactFinance[[#This Row],[MonthStart]] &lt;= Inputs!$B$1, TRUE, FALSE)</f>
        <v>1</v>
      </c>
    </row>
    <row r="517" spans="1:10" x14ac:dyDescent="0.3">
      <c r="A517" s="15">
        <v>45839</v>
      </c>
      <c r="B517" s="17" t="s">
        <v>60</v>
      </c>
      <c r="C517" s="3" t="s">
        <v>3</v>
      </c>
      <c r="D517" s="3" t="str">
        <f>VLOOKUP(C517, Ref_Department!$A$2:$D$6, 2, FALSE)</f>
        <v>Information Technology</v>
      </c>
      <c r="E517" s="3" t="s">
        <v>37</v>
      </c>
      <c r="F517" s="3" t="str">
        <f>VLOOKUP(E517, Ref_GLAccount!$A$2:$D$9, 2, FALSE)</f>
        <v>Benefits</v>
      </c>
      <c r="G517" s="3" t="str">
        <f>VLOOKUP(E517, Ref_GLAccount!$A$2:$D$9, 3, FALSE)</f>
        <v>Personnel</v>
      </c>
      <c r="H517" s="6" t="s">
        <v>70</v>
      </c>
      <c r="I517" s="7">
        <v>33310.199999999997</v>
      </c>
      <c r="J517" s="18" t="b">
        <f>IF(tblFactFinance[[#This Row],[MonthStart]] &lt;= Inputs!$B$1, TRUE, FALSE)</f>
        <v>1</v>
      </c>
    </row>
    <row r="518" spans="1:10" x14ac:dyDescent="0.3">
      <c r="A518" s="15">
        <v>45839</v>
      </c>
      <c r="B518" s="17" t="s">
        <v>60</v>
      </c>
      <c r="C518" s="3" t="s">
        <v>3</v>
      </c>
      <c r="D518" s="3" t="str">
        <f>VLOOKUP(C518, Ref_Department!$A$2:$D$6, 2, FALSE)</f>
        <v>Information Technology</v>
      </c>
      <c r="E518" s="3" t="s">
        <v>7</v>
      </c>
      <c r="F518" s="3" t="str">
        <f>VLOOKUP(E518, Ref_GLAccount!$A$2:$D$9, 2, FALSE)</f>
        <v>Occupancy &amp; Facilities</v>
      </c>
      <c r="G518" s="3" t="str">
        <f>VLOOKUP(E518, Ref_GLAccount!$A$2:$D$9, 3, FALSE)</f>
        <v>Facilities</v>
      </c>
      <c r="H518" s="6" t="s">
        <v>66</v>
      </c>
      <c r="I518" s="7">
        <v>8920.1200000000008</v>
      </c>
      <c r="J518" s="18" t="b">
        <f>IF(tblFactFinance[[#This Row],[MonthStart]] &lt;= Inputs!$B$1, TRUE, FALSE)</f>
        <v>1</v>
      </c>
    </row>
    <row r="519" spans="1:10" x14ac:dyDescent="0.3">
      <c r="A519" s="15">
        <v>45839</v>
      </c>
      <c r="B519" s="17" t="s">
        <v>60</v>
      </c>
      <c r="C519" s="3" t="s">
        <v>3</v>
      </c>
      <c r="D519" s="3" t="str">
        <f>VLOOKUP(C519, Ref_Department!$A$2:$D$6, 2, FALSE)</f>
        <v>Information Technology</v>
      </c>
      <c r="E519" s="3" t="s">
        <v>7</v>
      </c>
      <c r="F519" s="3" t="str">
        <f>VLOOKUP(E519, Ref_GLAccount!$A$2:$D$9, 2, FALSE)</f>
        <v>Occupancy &amp; Facilities</v>
      </c>
      <c r="G519" s="3" t="str">
        <f>VLOOKUP(E519, Ref_GLAccount!$A$2:$D$9, 3, FALSE)</f>
        <v>Facilities</v>
      </c>
      <c r="H519" s="6" t="s">
        <v>70</v>
      </c>
      <c r="I519" s="7">
        <v>9000</v>
      </c>
      <c r="J519" s="18" t="b">
        <f>IF(tblFactFinance[[#This Row],[MonthStart]] &lt;= Inputs!$B$1, TRUE, FALSE)</f>
        <v>1</v>
      </c>
    </row>
    <row r="520" spans="1:10" x14ac:dyDescent="0.3">
      <c r="A520" s="15">
        <v>45839</v>
      </c>
      <c r="B520" s="17" t="s">
        <v>60</v>
      </c>
      <c r="C520" s="3" t="s">
        <v>3</v>
      </c>
      <c r="D520" s="3" t="str">
        <f>VLOOKUP(C520, Ref_Department!$A$2:$D$6, 2, FALSE)</f>
        <v>Information Technology</v>
      </c>
      <c r="E520" s="3" t="s">
        <v>8</v>
      </c>
      <c r="F520" s="3" t="str">
        <f>VLOOKUP(E520, Ref_GLAccount!$A$2:$D$9, 2, FALSE)</f>
        <v>IT Software &amp; Subscriptions</v>
      </c>
      <c r="G520" s="3" t="str">
        <f>VLOOKUP(E520, Ref_GLAccount!$A$2:$D$9, 3, FALSE)</f>
        <v>IT</v>
      </c>
      <c r="H520" s="6" t="s">
        <v>66</v>
      </c>
      <c r="I520" s="7">
        <v>47726.81</v>
      </c>
      <c r="J520" s="18" t="b">
        <f>IF(tblFactFinance[[#This Row],[MonthStart]] &lt;= Inputs!$B$1, TRUE, FALSE)</f>
        <v>1</v>
      </c>
    </row>
    <row r="521" spans="1:10" x14ac:dyDescent="0.3">
      <c r="A521" s="15">
        <v>45839</v>
      </c>
      <c r="B521" s="17" t="s">
        <v>60</v>
      </c>
      <c r="C521" s="3" t="s">
        <v>3</v>
      </c>
      <c r="D521" s="3" t="str">
        <f>VLOOKUP(C521, Ref_Department!$A$2:$D$6, 2, FALSE)</f>
        <v>Information Technology</v>
      </c>
      <c r="E521" s="3" t="s">
        <v>8</v>
      </c>
      <c r="F521" s="3" t="str">
        <f>VLOOKUP(E521, Ref_GLAccount!$A$2:$D$9, 2, FALSE)</f>
        <v>IT Software &amp; Subscriptions</v>
      </c>
      <c r="G521" s="3" t="str">
        <f>VLOOKUP(E521, Ref_GLAccount!$A$2:$D$9, 3, FALSE)</f>
        <v>IT</v>
      </c>
      <c r="H521" s="6" t="s">
        <v>70</v>
      </c>
      <c r="I521" s="7">
        <v>43680</v>
      </c>
      <c r="J521" s="18" t="b">
        <f>IF(tblFactFinance[[#This Row],[MonthStart]] &lt;= Inputs!$B$1, TRUE, FALSE)</f>
        <v>1</v>
      </c>
    </row>
    <row r="522" spans="1:10" x14ac:dyDescent="0.3">
      <c r="A522" s="15">
        <v>45839</v>
      </c>
      <c r="B522" s="17" t="s">
        <v>60</v>
      </c>
      <c r="C522" s="3" t="s">
        <v>3</v>
      </c>
      <c r="D522" s="3" t="str">
        <f>VLOOKUP(C522, Ref_Department!$A$2:$D$6, 2, FALSE)</f>
        <v>Information Technology</v>
      </c>
      <c r="E522" s="3" t="s">
        <v>9</v>
      </c>
      <c r="F522" s="3" t="str">
        <f>VLOOKUP(E522, Ref_GLAccount!$A$2:$D$9, 2, FALSE)</f>
        <v>Marketing &amp; Advertising</v>
      </c>
      <c r="G522" s="3" t="str">
        <f>VLOOKUP(E522, Ref_GLAccount!$A$2:$D$9, 3, FALSE)</f>
        <v>Marketing</v>
      </c>
      <c r="H522" s="6" t="s">
        <v>66</v>
      </c>
      <c r="I522" s="7">
        <v>1654.01</v>
      </c>
      <c r="J522" s="18" t="b">
        <f>IF(tblFactFinance[[#This Row],[MonthStart]] &lt;= Inputs!$B$1, TRUE, FALSE)</f>
        <v>1</v>
      </c>
    </row>
    <row r="523" spans="1:10" x14ac:dyDescent="0.3">
      <c r="A523" s="15">
        <v>45839</v>
      </c>
      <c r="B523" s="17" t="s">
        <v>60</v>
      </c>
      <c r="C523" s="3" t="s">
        <v>3</v>
      </c>
      <c r="D523" s="3" t="str">
        <f>VLOOKUP(C523, Ref_Department!$A$2:$D$6, 2, FALSE)</f>
        <v>Information Technology</v>
      </c>
      <c r="E523" s="3" t="s">
        <v>9</v>
      </c>
      <c r="F523" s="3" t="str">
        <f>VLOOKUP(E523, Ref_GLAccount!$A$2:$D$9, 2, FALSE)</f>
        <v>Marketing &amp; Advertising</v>
      </c>
      <c r="G523" s="3" t="str">
        <f>VLOOKUP(E523, Ref_GLAccount!$A$2:$D$9, 3, FALSE)</f>
        <v>Marketing</v>
      </c>
      <c r="H523" s="6" t="s">
        <v>70</v>
      </c>
      <c r="I523" s="7">
        <v>1560</v>
      </c>
      <c r="J523" s="18" t="b">
        <f>IF(tblFactFinance[[#This Row],[MonthStart]] &lt;= Inputs!$B$1, TRUE, FALSE)</f>
        <v>1</v>
      </c>
    </row>
    <row r="524" spans="1:10" x14ac:dyDescent="0.3">
      <c r="A524" s="15">
        <v>45839</v>
      </c>
      <c r="B524" s="17" t="s">
        <v>60</v>
      </c>
      <c r="C524" s="3" t="s">
        <v>3</v>
      </c>
      <c r="D524" s="3" t="str">
        <f>VLOOKUP(C524, Ref_Department!$A$2:$D$6, 2, FALSE)</f>
        <v>Information Technology</v>
      </c>
      <c r="E524" s="3" t="s">
        <v>10</v>
      </c>
      <c r="F524" s="3" t="str">
        <f>VLOOKUP(E524, Ref_GLAccount!$A$2:$D$9, 2, FALSE)</f>
        <v>Professional Services</v>
      </c>
      <c r="G524" s="3" t="str">
        <f>VLOOKUP(E524, Ref_GLAccount!$A$2:$D$9, 3, FALSE)</f>
        <v>Professional Services</v>
      </c>
      <c r="H524" s="6" t="s">
        <v>66</v>
      </c>
      <c r="I524" s="7">
        <v>11781.38</v>
      </c>
      <c r="J524" s="18" t="b">
        <f>IF(tblFactFinance[[#This Row],[MonthStart]] &lt;= Inputs!$B$1, TRUE, FALSE)</f>
        <v>1</v>
      </c>
    </row>
    <row r="525" spans="1:10" x14ac:dyDescent="0.3">
      <c r="A525" s="15">
        <v>45839</v>
      </c>
      <c r="B525" s="17" t="s">
        <v>60</v>
      </c>
      <c r="C525" s="3" t="s">
        <v>3</v>
      </c>
      <c r="D525" s="3" t="str">
        <f>VLOOKUP(C525, Ref_Department!$A$2:$D$6, 2, FALSE)</f>
        <v>Information Technology</v>
      </c>
      <c r="E525" s="3" t="s">
        <v>10</v>
      </c>
      <c r="F525" s="3" t="str">
        <f>VLOOKUP(E525, Ref_GLAccount!$A$2:$D$9, 2, FALSE)</f>
        <v>Professional Services</v>
      </c>
      <c r="G525" s="3" t="str">
        <f>VLOOKUP(E525, Ref_GLAccount!$A$2:$D$9, 3, FALSE)</f>
        <v>Professional Services</v>
      </c>
      <c r="H525" s="6" t="s">
        <v>70</v>
      </c>
      <c r="I525" s="7">
        <v>12480</v>
      </c>
      <c r="J525" s="18" t="b">
        <f>IF(tblFactFinance[[#This Row],[MonthStart]] &lt;= Inputs!$B$1, TRUE, FALSE)</f>
        <v>1</v>
      </c>
    </row>
    <row r="526" spans="1:10" x14ac:dyDescent="0.3">
      <c r="A526" s="15">
        <v>45839</v>
      </c>
      <c r="B526" s="17" t="s">
        <v>60</v>
      </c>
      <c r="C526" s="3" t="s">
        <v>3</v>
      </c>
      <c r="D526" s="3" t="str">
        <f>VLOOKUP(C526, Ref_Department!$A$2:$D$6, 2, FALSE)</f>
        <v>Information Technology</v>
      </c>
      <c r="E526" s="3" t="s">
        <v>11</v>
      </c>
      <c r="F526" s="3" t="str">
        <f>VLOOKUP(E526, Ref_GLAccount!$A$2:$D$9, 2, FALSE)</f>
        <v>Office Supplies</v>
      </c>
      <c r="G526" s="3" t="str">
        <f>VLOOKUP(E526, Ref_GLAccount!$A$2:$D$9, 3, FALSE)</f>
        <v>Other OPEX</v>
      </c>
      <c r="H526" s="6" t="s">
        <v>66</v>
      </c>
      <c r="I526" s="7">
        <v>818.69</v>
      </c>
      <c r="J526" s="18" t="b">
        <f>IF(tblFactFinance[[#This Row],[MonthStart]] &lt;= Inputs!$B$1, TRUE, FALSE)</f>
        <v>1</v>
      </c>
    </row>
    <row r="527" spans="1:10" x14ac:dyDescent="0.3">
      <c r="A527" s="15">
        <v>45839</v>
      </c>
      <c r="B527" s="17" t="s">
        <v>60</v>
      </c>
      <c r="C527" s="3" t="s">
        <v>3</v>
      </c>
      <c r="D527" s="3" t="str">
        <f>VLOOKUP(C527, Ref_Department!$A$2:$D$6, 2, FALSE)</f>
        <v>Information Technology</v>
      </c>
      <c r="E527" s="3" t="s">
        <v>11</v>
      </c>
      <c r="F527" s="3" t="str">
        <f>VLOOKUP(E527, Ref_GLAccount!$A$2:$D$9, 2, FALSE)</f>
        <v>Office Supplies</v>
      </c>
      <c r="G527" s="3" t="str">
        <f>VLOOKUP(E527, Ref_GLAccount!$A$2:$D$9, 3, FALSE)</f>
        <v>Other OPEX</v>
      </c>
      <c r="H527" s="6" t="s">
        <v>70</v>
      </c>
      <c r="I527" s="7">
        <v>832</v>
      </c>
      <c r="J527" s="18" t="b">
        <f>IF(tblFactFinance[[#This Row],[MonthStart]] &lt;= Inputs!$B$1, TRUE, FALSE)</f>
        <v>1</v>
      </c>
    </row>
    <row r="528" spans="1:10" x14ac:dyDescent="0.3">
      <c r="A528" s="15">
        <v>45839</v>
      </c>
      <c r="B528" s="17" t="s">
        <v>60</v>
      </c>
      <c r="C528" s="3" t="s">
        <v>3</v>
      </c>
      <c r="D528" s="3" t="str">
        <f>VLOOKUP(C528, Ref_Department!$A$2:$D$6, 2, FALSE)</f>
        <v>Information Technology</v>
      </c>
      <c r="E528" s="3" t="s">
        <v>12</v>
      </c>
      <c r="F528" s="3" t="str">
        <f>VLOOKUP(E528, Ref_GLAccount!$A$2:$D$9, 2, FALSE)</f>
        <v>Training &amp; Development</v>
      </c>
      <c r="G528" s="3" t="str">
        <f>VLOOKUP(E528, Ref_GLAccount!$A$2:$D$9, 3, FALSE)</f>
        <v>Other OPEX</v>
      </c>
      <c r="H528" s="6" t="s">
        <v>66</v>
      </c>
      <c r="I528" s="7">
        <v>1904.07</v>
      </c>
      <c r="J528" s="18" t="b">
        <f>IF(tblFactFinance[[#This Row],[MonthStart]] &lt;= Inputs!$B$1, TRUE, FALSE)</f>
        <v>1</v>
      </c>
    </row>
    <row r="529" spans="1:10" x14ac:dyDescent="0.3">
      <c r="A529" s="15">
        <v>45839</v>
      </c>
      <c r="B529" s="17" t="s">
        <v>60</v>
      </c>
      <c r="C529" s="3" t="s">
        <v>3</v>
      </c>
      <c r="D529" s="3" t="str">
        <f>VLOOKUP(C529, Ref_Department!$A$2:$D$6, 2, FALSE)</f>
        <v>Information Technology</v>
      </c>
      <c r="E529" s="3" t="s">
        <v>12</v>
      </c>
      <c r="F529" s="3" t="str">
        <f>VLOOKUP(E529, Ref_GLAccount!$A$2:$D$9, 2, FALSE)</f>
        <v>Training &amp; Development</v>
      </c>
      <c r="G529" s="3" t="str">
        <f>VLOOKUP(E529, Ref_GLAccount!$A$2:$D$9, 3, FALSE)</f>
        <v>Other OPEX</v>
      </c>
      <c r="H529" s="6" t="s">
        <v>70</v>
      </c>
      <c r="I529" s="7">
        <v>1872</v>
      </c>
      <c r="J529" s="18" t="b">
        <f>IF(tblFactFinance[[#This Row],[MonthStart]] &lt;= Inputs!$B$1, TRUE, FALSE)</f>
        <v>1</v>
      </c>
    </row>
    <row r="530" spans="1:10" x14ac:dyDescent="0.3">
      <c r="A530" s="15">
        <v>45839</v>
      </c>
      <c r="B530" s="17" t="s">
        <v>60</v>
      </c>
      <c r="C530" s="3" t="s">
        <v>4</v>
      </c>
      <c r="D530" s="3" t="str">
        <f>VLOOKUP(C530, Ref_Department!$A$2:$D$6, 2, FALSE)</f>
        <v>Marketing</v>
      </c>
      <c r="E530" s="3" t="s">
        <v>33</v>
      </c>
      <c r="F530" s="3" t="str">
        <f>VLOOKUP(E530, Ref_GLAccount!$A$2:$D$9, 2, FALSE)</f>
        <v>Salaries</v>
      </c>
      <c r="G530" s="3" t="str">
        <f>VLOOKUP(E530, Ref_GLAccount!$A$2:$D$9, 3, FALSE)</f>
        <v>Personnel</v>
      </c>
      <c r="H530" s="6" t="s">
        <v>66</v>
      </c>
      <c r="I530" s="7">
        <v>66391.7</v>
      </c>
      <c r="J530" s="18" t="b">
        <f>IF(tblFactFinance[[#This Row],[MonthStart]] &lt;= Inputs!$B$1, TRUE, FALSE)</f>
        <v>1</v>
      </c>
    </row>
    <row r="531" spans="1:10" x14ac:dyDescent="0.3">
      <c r="A531" s="15">
        <v>45839</v>
      </c>
      <c r="B531" s="17" t="s">
        <v>60</v>
      </c>
      <c r="C531" s="3" t="s">
        <v>4</v>
      </c>
      <c r="D531" s="3" t="str">
        <f>VLOOKUP(C531, Ref_Department!$A$2:$D$6, 2, FALSE)</f>
        <v>Marketing</v>
      </c>
      <c r="E531" s="3" t="s">
        <v>33</v>
      </c>
      <c r="F531" s="3" t="str">
        <f>VLOOKUP(E531, Ref_GLAccount!$A$2:$D$9, 2, FALSE)</f>
        <v>Salaries</v>
      </c>
      <c r="G531" s="3" t="str">
        <f>VLOOKUP(E531, Ref_GLAccount!$A$2:$D$9, 3, FALSE)</f>
        <v>Personnel</v>
      </c>
      <c r="H531" s="6" t="s">
        <v>70</v>
      </c>
      <c r="I531" s="7">
        <v>64375</v>
      </c>
      <c r="J531" s="18" t="b">
        <f>IF(tblFactFinance[[#This Row],[MonthStart]] &lt;= Inputs!$B$1, TRUE, FALSE)</f>
        <v>1</v>
      </c>
    </row>
    <row r="532" spans="1:10" x14ac:dyDescent="0.3">
      <c r="A532" s="15">
        <v>45839</v>
      </c>
      <c r="B532" s="17" t="s">
        <v>60</v>
      </c>
      <c r="C532" s="3" t="s">
        <v>4</v>
      </c>
      <c r="D532" s="3" t="str">
        <f>VLOOKUP(C532, Ref_Department!$A$2:$D$6, 2, FALSE)</f>
        <v>Marketing</v>
      </c>
      <c r="E532" s="3" t="s">
        <v>37</v>
      </c>
      <c r="F532" s="3" t="str">
        <f>VLOOKUP(E532, Ref_GLAccount!$A$2:$D$9, 2, FALSE)</f>
        <v>Benefits</v>
      </c>
      <c r="G532" s="3" t="str">
        <f>VLOOKUP(E532, Ref_GLAccount!$A$2:$D$9, 3, FALSE)</f>
        <v>Personnel</v>
      </c>
      <c r="H532" s="6" t="s">
        <v>66</v>
      </c>
      <c r="I532" s="7">
        <v>13398.6</v>
      </c>
      <c r="J532" s="18" t="b">
        <f>IF(tblFactFinance[[#This Row],[MonthStart]] &lt;= Inputs!$B$1, TRUE, FALSE)</f>
        <v>1</v>
      </c>
    </row>
    <row r="533" spans="1:10" x14ac:dyDescent="0.3">
      <c r="A533" s="15">
        <v>45839</v>
      </c>
      <c r="B533" s="17" t="s">
        <v>60</v>
      </c>
      <c r="C533" s="3" t="s">
        <v>4</v>
      </c>
      <c r="D533" s="3" t="str">
        <f>VLOOKUP(C533, Ref_Department!$A$2:$D$6, 2, FALSE)</f>
        <v>Marketing</v>
      </c>
      <c r="E533" s="3" t="s">
        <v>37</v>
      </c>
      <c r="F533" s="3" t="str">
        <f>VLOOKUP(E533, Ref_GLAccount!$A$2:$D$9, 2, FALSE)</f>
        <v>Benefits</v>
      </c>
      <c r="G533" s="3" t="str">
        <f>VLOOKUP(E533, Ref_GLAccount!$A$2:$D$9, 3, FALSE)</f>
        <v>Personnel</v>
      </c>
      <c r="H533" s="6" t="s">
        <v>70</v>
      </c>
      <c r="I533" s="7">
        <v>14162.5</v>
      </c>
      <c r="J533" s="18" t="b">
        <f>IF(tblFactFinance[[#This Row],[MonthStart]] &lt;= Inputs!$B$1, TRUE, FALSE)</f>
        <v>1</v>
      </c>
    </row>
    <row r="534" spans="1:10" x14ac:dyDescent="0.3">
      <c r="A534" s="15">
        <v>45839</v>
      </c>
      <c r="B534" s="17" t="s">
        <v>60</v>
      </c>
      <c r="C534" s="3" t="s">
        <v>4</v>
      </c>
      <c r="D534" s="3" t="str">
        <f>VLOOKUP(C534, Ref_Department!$A$2:$D$6, 2, FALSE)</f>
        <v>Marketing</v>
      </c>
      <c r="E534" s="3" t="s">
        <v>7</v>
      </c>
      <c r="F534" s="3" t="str">
        <f>VLOOKUP(E534, Ref_GLAccount!$A$2:$D$9, 2, FALSE)</f>
        <v>Occupancy &amp; Facilities</v>
      </c>
      <c r="G534" s="3" t="str">
        <f>VLOOKUP(E534, Ref_GLAccount!$A$2:$D$9, 3, FALSE)</f>
        <v>Facilities</v>
      </c>
      <c r="H534" s="6" t="s">
        <v>66</v>
      </c>
      <c r="I534" s="7">
        <v>5458.67</v>
      </c>
      <c r="J534" s="18" t="b">
        <f>IF(tblFactFinance[[#This Row],[MonthStart]] &lt;= Inputs!$B$1, TRUE, FALSE)</f>
        <v>1</v>
      </c>
    </row>
    <row r="535" spans="1:10" x14ac:dyDescent="0.3">
      <c r="A535" s="15">
        <v>45839</v>
      </c>
      <c r="B535" s="17" t="s">
        <v>60</v>
      </c>
      <c r="C535" s="3" t="s">
        <v>4</v>
      </c>
      <c r="D535" s="3" t="str">
        <f>VLOOKUP(C535, Ref_Department!$A$2:$D$6, 2, FALSE)</f>
        <v>Marketing</v>
      </c>
      <c r="E535" s="3" t="s">
        <v>7</v>
      </c>
      <c r="F535" s="3" t="str">
        <f>VLOOKUP(E535, Ref_GLAccount!$A$2:$D$9, 2, FALSE)</f>
        <v>Occupancy &amp; Facilities</v>
      </c>
      <c r="G535" s="3" t="str">
        <f>VLOOKUP(E535, Ref_GLAccount!$A$2:$D$9, 3, FALSE)</f>
        <v>Facilities</v>
      </c>
      <c r="H535" s="6" t="s">
        <v>70</v>
      </c>
      <c r="I535" s="7">
        <v>6000</v>
      </c>
      <c r="J535" s="18" t="b">
        <f>IF(tblFactFinance[[#This Row],[MonthStart]] &lt;= Inputs!$B$1, TRUE, FALSE)</f>
        <v>1</v>
      </c>
    </row>
    <row r="536" spans="1:10" x14ac:dyDescent="0.3">
      <c r="A536" s="15">
        <v>45839</v>
      </c>
      <c r="B536" s="17" t="s">
        <v>60</v>
      </c>
      <c r="C536" s="3" t="s">
        <v>4</v>
      </c>
      <c r="D536" s="3" t="str">
        <f>VLOOKUP(C536, Ref_Department!$A$2:$D$6, 2, FALSE)</f>
        <v>Marketing</v>
      </c>
      <c r="E536" s="3" t="s">
        <v>8</v>
      </c>
      <c r="F536" s="3" t="str">
        <f>VLOOKUP(E536, Ref_GLAccount!$A$2:$D$9, 2, FALSE)</f>
        <v>IT Software &amp; Subscriptions</v>
      </c>
      <c r="G536" s="3" t="str">
        <f>VLOOKUP(E536, Ref_GLAccount!$A$2:$D$9, 3, FALSE)</f>
        <v>IT</v>
      </c>
      <c r="H536" s="6" t="s">
        <v>66</v>
      </c>
      <c r="I536" s="7">
        <v>6724.87</v>
      </c>
      <c r="J536" s="18" t="b">
        <f>IF(tblFactFinance[[#This Row],[MonthStart]] &lt;= Inputs!$B$1, TRUE, FALSE)</f>
        <v>1</v>
      </c>
    </row>
    <row r="537" spans="1:10" x14ac:dyDescent="0.3">
      <c r="A537" s="15">
        <v>45839</v>
      </c>
      <c r="B537" s="17" t="s">
        <v>60</v>
      </c>
      <c r="C537" s="3" t="s">
        <v>4</v>
      </c>
      <c r="D537" s="3" t="str">
        <f>VLOOKUP(C537, Ref_Department!$A$2:$D$6, 2, FALSE)</f>
        <v>Marketing</v>
      </c>
      <c r="E537" s="3" t="s">
        <v>8</v>
      </c>
      <c r="F537" s="3" t="str">
        <f>VLOOKUP(E537, Ref_GLAccount!$A$2:$D$9, 2, FALSE)</f>
        <v>IT Software &amp; Subscriptions</v>
      </c>
      <c r="G537" s="3" t="str">
        <f>VLOOKUP(E537, Ref_GLAccount!$A$2:$D$9, 3, FALSE)</f>
        <v>IT</v>
      </c>
      <c r="H537" s="6" t="s">
        <v>70</v>
      </c>
      <c r="I537" s="7">
        <v>7280</v>
      </c>
      <c r="J537" s="18" t="b">
        <f>IF(tblFactFinance[[#This Row],[MonthStart]] &lt;= Inputs!$B$1, TRUE, FALSE)</f>
        <v>1</v>
      </c>
    </row>
    <row r="538" spans="1:10" x14ac:dyDescent="0.3">
      <c r="A538" s="15">
        <v>45839</v>
      </c>
      <c r="B538" s="17" t="s">
        <v>60</v>
      </c>
      <c r="C538" s="3" t="s">
        <v>4</v>
      </c>
      <c r="D538" s="3" t="str">
        <f>VLOOKUP(C538, Ref_Department!$A$2:$D$6, 2, FALSE)</f>
        <v>Marketing</v>
      </c>
      <c r="E538" s="3" t="s">
        <v>9</v>
      </c>
      <c r="F538" s="3" t="str">
        <f>VLOOKUP(E538, Ref_GLAccount!$A$2:$D$9, 2, FALSE)</f>
        <v>Marketing &amp; Advertising</v>
      </c>
      <c r="G538" s="3" t="str">
        <f>VLOOKUP(E538, Ref_GLAccount!$A$2:$D$9, 3, FALSE)</f>
        <v>Marketing</v>
      </c>
      <c r="H538" s="6" t="s">
        <v>66</v>
      </c>
      <c r="I538" s="7">
        <v>29037.17</v>
      </c>
      <c r="J538" s="18" t="b">
        <f>IF(tblFactFinance[[#This Row],[MonthStart]] &lt;= Inputs!$B$1, TRUE, FALSE)</f>
        <v>1</v>
      </c>
    </row>
    <row r="539" spans="1:10" x14ac:dyDescent="0.3">
      <c r="A539" s="15">
        <v>45839</v>
      </c>
      <c r="B539" s="17" t="s">
        <v>60</v>
      </c>
      <c r="C539" s="3" t="s">
        <v>4</v>
      </c>
      <c r="D539" s="3" t="str">
        <f>VLOOKUP(C539, Ref_Department!$A$2:$D$6, 2, FALSE)</f>
        <v>Marketing</v>
      </c>
      <c r="E539" s="3" t="s">
        <v>9</v>
      </c>
      <c r="F539" s="3" t="str">
        <f>VLOOKUP(E539, Ref_GLAccount!$A$2:$D$9, 2, FALSE)</f>
        <v>Marketing &amp; Advertising</v>
      </c>
      <c r="G539" s="3" t="str">
        <f>VLOOKUP(E539, Ref_GLAccount!$A$2:$D$9, 3, FALSE)</f>
        <v>Marketing</v>
      </c>
      <c r="H539" s="6" t="s">
        <v>70</v>
      </c>
      <c r="I539" s="7">
        <v>29120</v>
      </c>
      <c r="J539" s="18" t="b">
        <f>IF(tblFactFinance[[#This Row],[MonthStart]] &lt;= Inputs!$B$1, TRUE, FALSE)</f>
        <v>1</v>
      </c>
    </row>
    <row r="540" spans="1:10" x14ac:dyDescent="0.3">
      <c r="A540" s="15">
        <v>45839</v>
      </c>
      <c r="B540" s="17" t="s">
        <v>60</v>
      </c>
      <c r="C540" s="3" t="s">
        <v>4</v>
      </c>
      <c r="D540" s="3" t="str">
        <f>VLOOKUP(C540, Ref_Department!$A$2:$D$6, 2, FALSE)</f>
        <v>Marketing</v>
      </c>
      <c r="E540" s="3" t="s">
        <v>10</v>
      </c>
      <c r="F540" s="3" t="str">
        <f>VLOOKUP(E540, Ref_GLAccount!$A$2:$D$9, 2, FALSE)</f>
        <v>Professional Services</v>
      </c>
      <c r="G540" s="3" t="str">
        <f>VLOOKUP(E540, Ref_GLAccount!$A$2:$D$9, 3, FALSE)</f>
        <v>Professional Services</v>
      </c>
      <c r="H540" s="6" t="s">
        <v>66</v>
      </c>
      <c r="I540" s="7">
        <v>6214.24</v>
      </c>
      <c r="J540" s="18" t="b">
        <f>IF(tblFactFinance[[#This Row],[MonthStart]] &lt;= Inputs!$B$1, TRUE, FALSE)</f>
        <v>1</v>
      </c>
    </row>
    <row r="541" spans="1:10" x14ac:dyDescent="0.3">
      <c r="A541" s="15">
        <v>45839</v>
      </c>
      <c r="B541" s="17" t="s">
        <v>60</v>
      </c>
      <c r="C541" s="3" t="s">
        <v>4</v>
      </c>
      <c r="D541" s="3" t="str">
        <f>VLOOKUP(C541, Ref_Department!$A$2:$D$6, 2, FALSE)</f>
        <v>Marketing</v>
      </c>
      <c r="E541" s="3" t="s">
        <v>10</v>
      </c>
      <c r="F541" s="3" t="str">
        <f>VLOOKUP(E541, Ref_GLAccount!$A$2:$D$9, 2, FALSE)</f>
        <v>Professional Services</v>
      </c>
      <c r="G541" s="3" t="str">
        <f>VLOOKUP(E541, Ref_GLAccount!$A$2:$D$9, 3, FALSE)</f>
        <v>Professional Services</v>
      </c>
      <c r="H541" s="6" t="s">
        <v>70</v>
      </c>
      <c r="I541" s="7">
        <v>6240</v>
      </c>
      <c r="J541" s="18" t="b">
        <f>IF(tblFactFinance[[#This Row],[MonthStart]] &lt;= Inputs!$B$1, TRUE, FALSE)</f>
        <v>1</v>
      </c>
    </row>
    <row r="542" spans="1:10" x14ac:dyDescent="0.3">
      <c r="A542" s="15">
        <v>45839</v>
      </c>
      <c r="B542" s="17" t="s">
        <v>60</v>
      </c>
      <c r="C542" s="3" t="s">
        <v>4</v>
      </c>
      <c r="D542" s="3" t="str">
        <f>VLOOKUP(C542, Ref_Department!$A$2:$D$6, 2, FALSE)</f>
        <v>Marketing</v>
      </c>
      <c r="E542" s="3" t="s">
        <v>11</v>
      </c>
      <c r="F542" s="3" t="str">
        <f>VLOOKUP(E542, Ref_GLAccount!$A$2:$D$9, 2, FALSE)</f>
        <v>Office Supplies</v>
      </c>
      <c r="G542" s="3" t="str">
        <f>VLOOKUP(E542, Ref_GLAccount!$A$2:$D$9, 3, FALSE)</f>
        <v>Other OPEX</v>
      </c>
      <c r="H542" s="6" t="s">
        <v>66</v>
      </c>
      <c r="I542" s="7">
        <v>738.05</v>
      </c>
      <c r="J542" s="18" t="b">
        <f>IF(tblFactFinance[[#This Row],[MonthStart]] &lt;= Inputs!$B$1, TRUE, FALSE)</f>
        <v>1</v>
      </c>
    </row>
    <row r="543" spans="1:10" x14ac:dyDescent="0.3">
      <c r="A543" s="15">
        <v>45839</v>
      </c>
      <c r="B543" s="17" t="s">
        <v>60</v>
      </c>
      <c r="C543" s="3" t="s">
        <v>4</v>
      </c>
      <c r="D543" s="3" t="str">
        <f>VLOOKUP(C543, Ref_Department!$A$2:$D$6, 2, FALSE)</f>
        <v>Marketing</v>
      </c>
      <c r="E543" s="3" t="s">
        <v>11</v>
      </c>
      <c r="F543" s="3" t="str">
        <f>VLOOKUP(E543, Ref_GLAccount!$A$2:$D$9, 2, FALSE)</f>
        <v>Office Supplies</v>
      </c>
      <c r="G543" s="3" t="str">
        <f>VLOOKUP(E543, Ref_GLAccount!$A$2:$D$9, 3, FALSE)</f>
        <v>Other OPEX</v>
      </c>
      <c r="H543" s="6" t="s">
        <v>70</v>
      </c>
      <c r="I543" s="7">
        <v>728</v>
      </c>
      <c r="J543" s="18" t="b">
        <f>IF(tblFactFinance[[#This Row],[MonthStart]] &lt;= Inputs!$B$1, TRUE, FALSE)</f>
        <v>1</v>
      </c>
    </row>
    <row r="544" spans="1:10" x14ac:dyDescent="0.3">
      <c r="A544" s="15">
        <v>45839</v>
      </c>
      <c r="B544" s="17" t="s">
        <v>60</v>
      </c>
      <c r="C544" s="3" t="s">
        <v>4</v>
      </c>
      <c r="D544" s="3" t="str">
        <f>VLOOKUP(C544, Ref_Department!$A$2:$D$6, 2, FALSE)</f>
        <v>Marketing</v>
      </c>
      <c r="E544" s="3" t="s">
        <v>12</v>
      </c>
      <c r="F544" s="3" t="str">
        <f>VLOOKUP(E544, Ref_GLAccount!$A$2:$D$9, 2, FALSE)</f>
        <v>Training &amp; Development</v>
      </c>
      <c r="G544" s="3" t="str">
        <f>VLOOKUP(E544, Ref_GLAccount!$A$2:$D$9, 3, FALSE)</f>
        <v>Other OPEX</v>
      </c>
      <c r="H544" s="6" t="s">
        <v>66</v>
      </c>
      <c r="I544" s="7">
        <v>1108.78</v>
      </c>
      <c r="J544" s="18" t="b">
        <f>IF(tblFactFinance[[#This Row],[MonthStart]] &lt;= Inputs!$B$1, TRUE, FALSE)</f>
        <v>1</v>
      </c>
    </row>
    <row r="545" spans="1:10" x14ac:dyDescent="0.3">
      <c r="A545" s="15">
        <v>45839</v>
      </c>
      <c r="B545" s="17" t="s">
        <v>60</v>
      </c>
      <c r="C545" s="3" t="s">
        <v>4</v>
      </c>
      <c r="D545" s="3" t="str">
        <f>VLOOKUP(C545, Ref_Department!$A$2:$D$6, 2, FALSE)</f>
        <v>Marketing</v>
      </c>
      <c r="E545" s="3" t="s">
        <v>12</v>
      </c>
      <c r="F545" s="3" t="str">
        <f>VLOOKUP(E545, Ref_GLAccount!$A$2:$D$9, 2, FALSE)</f>
        <v>Training &amp; Development</v>
      </c>
      <c r="G545" s="3" t="str">
        <f>VLOOKUP(E545, Ref_GLAccount!$A$2:$D$9, 3, FALSE)</f>
        <v>Other OPEX</v>
      </c>
      <c r="H545" s="6" t="s">
        <v>70</v>
      </c>
      <c r="I545" s="7">
        <v>1144</v>
      </c>
      <c r="J545" s="18" t="b">
        <f>IF(tblFactFinance[[#This Row],[MonthStart]] &lt;= Inputs!$B$1, TRUE, FALSE)</f>
        <v>1</v>
      </c>
    </row>
    <row r="546" spans="1:10" x14ac:dyDescent="0.3">
      <c r="A546" s="15">
        <v>45839</v>
      </c>
      <c r="B546" s="17" t="s">
        <v>60</v>
      </c>
      <c r="C546" s="3" t="s">
        <v>5</v>
      </c>
      <c r="D546" s="3" t="str">
        <f>VLOOKUP(C546, Ref_Department!$A$2:$D$6, 2, FALSE)</f>
        <v>Human Resources</v>
      </c>
      <c r="E546" s="3" t="s">
        <v>33</v>
      </c>
      <c r="F546" s="3" t="str">
        <f>VLOOKUP(E546, Ref_GLAccount!$A$2:$D$9, 2, FALSE)</f>
        <v>Salaries</v>
      </c>
      <c r="G546" s="3" t="str">
        <f>VLOOKUP(E546, Ref_GLAccount!$A$2:$D$9, 3, FALSE)</f>
        <v>Personnel</v>
      </c>
      <c r="H546" s="6" t="s">
        <v>66</v>
      </c>
      <c r="I546" s="7">
        <v>50937.19</v>
      </c>
      <c r="J546" s="18" t="b">
        <f>IF(tblFactFinance[[#This Row],[MonthStart]] &lt;= Inputs!$B$1, TRUE, FALSE)</f>
        <v>1</v>
      </c>
    </row>
    <row r="547" spans="1:10" x14ac:dyDescent="0.3">
      <c r="A547" s="15">
        <v>45839</v>
      </c>
      <c r="B547" s="17" t="s">
        <v>60</v>
      </c>
      <c r="C547" s="3" t="s">
        <v>5</v>
      </c>
      <c r="D547" s="3" t="str">
        <f>VLOOKUP(C547, Ref_Department!$A$2:$D$6, 2, FALSE)</f>
        <v>Human Resources</v>
      </c>
      <c r="E547" s="3" t="s">
        <v>33</v>
      </c>
      <c r="F547" s="3" t="str">
        <f>VLOOKUP(E547, Ref_GLAccount!$A$2:$D$9, 2, FALSE)</f>
        <v>Salaries</v>
      </c>
      <c r="G547" s="3" t="str">
        <f>VLOOKUP(E547, Ref_GLAccount!$A$2:$D$9, 3, FALSE)</f>
        <v>Personnel</v>
      </c>
      <c r="H547" s="6" t="s">
        <v>70</v>
      </c>
      <c r="I547" s="7">
        <v>53560</v>
      </c>
      <c r="J547" s="18" t="b">
        <f>IF(tblFactFinance[[#This Row],[MonthStart]] &lt;= Inputs!$B$1, TRUE, FALSE)</f>
        <v>1</v>
      </c>
    </row>
    <row r="548" spans="1:10" x14ac:dyDescent="0.3">
      <c r="A548" s="15">
        <v>45839</v>
      </c>
      <c r="B548" s="17" t="s">
        <v>60</v>
      </c>
      <c r="C548" s="3" t="s">
        <v>5</v>
      </c>
      <c r="D548" s="3" t="str">
        <f>VLOOKUP(C548, Ref_Department!$A$2:$D$6, 2, FALSE)</f>
        <v>Human Resources</v>
      </c>
      <c r="E548" s="3" t="s">
        <v>37</v>
      </c>
      <c r="F548" s="3" t="str">
        <f>VLOOKUP(E548, Ref_GLAccount!$A$2:$D$9, 2, FALSE)</f>
        <v>Benefits</v>
      </c>
      <c r="G548" s="3" t="str">
        <f>VLOOKUP(E548, Ref_GLAccount!$A$2:$D$9, 3, FALSE)</f>
        <v>Personnel</v>
      </c>
      <c r="H548" s="6" t="s">
        <v>66</v>
      </c>
      <c r="I548" s="7">
        <v>10829.68</v>
      </c>
      <c r="J548" s="18" t="b">
        <f>IF(tblFactFinance[[#This Row],[MonthStart]] &lt;= Inputs!$B$1, TRUE, FALSE)</f>
        <v>1</v>
      </c>
    </row>
    <row r="549" spans="1:10" x14ac:dyDescent="0.3">
      <c r="A549" s="15">
        <v>45839</v>
      </c>
      <c r="B549" s="17" t="s">
        <v>60</v>
      </c>
      <c r="C549" s="3" t="s">
        <v>5</v>
      </c>
      <c r="D549" s="3" t="str">
        <f>VLOOKUP(C549, Ref_Department!$A$2:$D$6, 2, FALSE)</f>
        <v>Human Resources</v>
      </c>
      <c r="E549" s="3" t="s">
        <v>37</v>
      </c>
      <c r="F549" s="3" t="str">
        <f>VLOOKUP(E549, Ref_GLAccount!$A$2:$D$9, 2, FALSE)</f>
        <v>Benefits</v>
      </c>
      <c r="G549" s="3" t="str">
        <f>VLOOKUP(E549, Ref_GLAccount!$A$2:$D$9, 3, FALSE)</f>
        <v>Personnel</v>
      </c>
      <c r="H549" s="6" t="s">
        <v>70</v>
      </c>
      <c r="I549" s="7">
        <v>11783.2</v>
      </c>
      <c r="J549" s="18" t="b">
        <f>IF(tblFactFinance[[#This Row],[MonthStart]] &lt;= Inputs!$B$1, TRUE, FALSE)</f>
        <v>1</v>
      </c>
    </row>
    <row r="550" spans="1:10" x14ac:dyDescent="0.3">
      <c r="A550" s="15">
        <v>45839</v>
      </c>
      <c r="B550" s="17" t="s">
        <v>60</v>
      </c>
      <c r="C550" s="3" t="s">
        <v>5</v>
      </c>
      <c r="D550" s="3" t="str">
        <f>VLOOKUP(C550, Ref_Department!$A$2:$D$6, 2, FALSE)</f>
        <v>Human Resources</v>
      </c>
      <c r="E550" s="3" t="s">
        <v>7</v>
      </c>
      <c r="F550" s="3" t="str">
        <f>VLOOKUP(E550, Ref_GLAccount!$A$2:$D$9, 2, FALSE)</f>
        <v>Occupancy &amp; Facilities</v>
      </c>
      <c r="G550" s="3" t="str">
        <f>VLOOKUP(E550, Ref_GLAccount!$A$2:$D$9, 3, FALSE)</f>
        <v>Facilities</v>
      </c>
      <c r="H550" s="6" t="s">
        <v>66</v>
      </c>
      <c r="I550" s="7">
        <v>4052.67</v>
      </c>
      <c r="J550" s="18" t="b">
        <f>IF(tblFactFinance[[#This Row],[MonthStart]] &lt;= Inputs!$B$1, TRUE, FALSE)</f>
        <v>1</v>
      </c>
    </row>
    <row r="551" spans="1:10" x14ac:dyDescent="0.3">
      <c r="A551" s="15">
        <v>45839</v>
      </c>
      <c r="B551" s="17" t="s">
        <v>60</v>
      </c>
      <c r="C551" s="3" t="s">
        <v>5</v>
      </c>
      <c r="D551" s="3" t="str">
        <f>VLOOKUP(C551, Ref_Department!$A$2:$D$6, 2, FALSE)</f>
        <v>Human Resources</v>
      </c>
      <c r="E551" s="3" t="s">
        <v>7</v>
      </c>
      <c r="F551" s="3" t="str">
        <f>VLOOKUP(E551, Ref_GLAccount!$A$2:$D$9, 2, FALSE)</f>
        <v>Occupancy &amp; Facilities</v>
      </c>
      <c r="G551" s="3" t="str">
        <f>VLOOKUP(E551, Ref_GLAccount!$A$2:$D$9, 3, FALSE)</f>
        <v>Facilities</v>
      </c>
      <c r="H551" s="6" t="s">
        <v>70</v>
      </c>
      <c r="I551" s="7">
        <v>4000</v>
      </c>
      <c r="J551" s="18" t="b">
        <f>IF(tblFactFinance[[#This Row],[MonthStart]] &lt;= Inputs!$B$1, TRUE, FALSE)</f>
        <v>1</v>
      </c>
    </row>
    <row r="552" spans="1:10" x14ac:dyDescent="0.3">
      <c r="A552" s="15">
        <v>45839</v>
      </c>
      <c r="B552" s="17" t="s">
        <v>60</v>
      </c>
      <c r="C552" s="3" t="s">
        <v>5</v>
      </c>
      <c r="D552" s="3" t="str">
        <f>VLOOKUP(C552, Ref_Department!$A$2:$D$6, 2, FALSE)</f>
        <v>Human Resources</v>
      </c>
      <c r="E552" s="3" t="s">
        <v>8</v>
      </c>
      <c r="F552" s="3" t="str">
        <f>VLOOKUP(E552, Ref_GLAccount!$A$2:$D$9, 2, FALSE)</f>
        <v>IT Software &amp; Subscriptions</v>
      </c>
      <c r="G552" s="3" t="str">
        <f>VLOOKUP(E552, Ref_GLAccount!$A$2:$D$9, 3, FALSE)</f>
        <v>IT</v>
      </c>
      <c r="H552" s="6" t="s">
        <v>66</v>
      </c>
      <c r="I552" s="7">
        <v>5276.97</v>
      </c>
      <c r="J552" s="18" t="b">
        <f>IF(tblFactFinance[[#This Row],[MonthStart]] &lt;= Inputs!$B$1, TRUE, FALSE)</f>
        <v>1</v>
      </c>
    </row>
    <row r="553" spans="1:10" x14ac:dyDescent="0.3">
      <c r="A553" s="15">
        <v>45839</v>
      </c>
      <c r="B553" s="17" t="s">
        <v>60</v>
      </c>
      <c r="C553" s="3" t="s">
        <v>5</v>
      </c>
      <c r="D553" s="3" t="str">
        <f>VLOOKUP(C553, Ref_Department!$A$2:$D$6, 2, FALSE)</f>
        <v>Human Resources</v>
      </c>
      <c r="E553" s="3" t="s">
        <v>8</v>
      </c>
      <c r="F553" s="3" t="str">
        <f>VLOOKUP(E553, Ref_GLAccount!$A$2:$D$9, 2, FALSE)</f>
        <v>IT Software &amp; Subscriptions</v>
      </c>
      <c r="G553" s="3" t="str">
        <f>VLOOKUP(E553, Ref_GLAccount!$A$2:$D$9, 3, FALSE)</f>
        <v>IT</v>
      </c>
      <c r="H553" s="6" t="s">
        <v>70</v>
      </c>
      <c r="I553" s="7">
        <v>5200</v>
      </c>
      <c r="J553" s="18" t="b">
        <f>IF(tblFactFinance[[#This Row],[MonthStart]] &lt;= Inputs!$B$1, TRUE, FALSE)</f>
        <v>1</v>
      </c>
    </row>
    <row r="554" spans="1:10" x14ac:dyDescent="0.3">
      <c r="A554" s="15">
        <v>45839</v>
      </c>
      <c r="B554" s="17" t="s">
        <v>60</v>
      </c>
      <c r="C554" s="3" t="s">
        <v>5</v>
      </c>
      <c r="D554" s="3" t="str">
        <f>VLOOKUP(C554, Ref_Department!$A$2:$D$6, 2, FALSE)</f>
        <v>Human Resources</v>
      </c>
      <c r="E554" s="3" t="s">
        <v>9</v>
      </c>
      <c r="F554" s="3" t="str">
        <f>VLOOKUP(E554, Ref_GLAccount!$A$2:$D$9, 2, FALSE)</f>
        <v>Marketing &amp; Advertising</v>
      </c>
      <c r="G554" s="3" t="str">
        <f>VLOOKUP(E554, Ref_GLAccount!$A$2:$D$9, 3, FALSE)</f>
        <v>Marketing</v>
      </c>
      <c r="H554" s="6" t="s">
        <v>66</v>
      </c>
      <c r="I554" s="7">
        <v>1297.57</v>
      </c>
      <c r="J554" s="18" t="b">
        <f>IF(tblFactFinance[[#This Row],[MonthStart]] &lt;= Inputs!$B$1, TRUE, FALSE)</f>
        <v>1</v>
      </c>
    </row>
    <row r="555" spans="1:10" x14ac:dyDescent="0.3">
      <c r="A555" s="15">
        <v>45839</v>
      </c>
      <c r="B555" s="17" t="s">
        <v>60</v>
      </c>
      <c r="C555" s="3" t="s">
        <v>5</v>
      </c>
      <c r="D555" s="3" t="str">
        <f>VLOOKUP(C555, Ref_Department!$A$2:$D$6, 2, FALSE)</f>
        <v>Human Resources</v>
      </c>
      <c r="E555" s="3" t="s">
        <v>9</v>
      </c>
      <c r="F555" s="3" t="str">
        <f>VLOOKUP(E555, Ref_GLAccount!$A$2:$D$9, 2, FALSE)</f>
        <v>Marketing &amp; Advertising</v>
      </c>
      <c r="G555" s="3" t="str">
        <f>VLOOKUP(E555, Ref_GLAccount!$A$2:$D$9, 3, FALSE)</f>
        <v>Marketing</v>
      </c>
      <c r="H555" s="6" t="s">
        <v>70</v>
      </c>
      <c r="I555" s="7">
        <v>1248</v>
      </c>
      <c r="J555" s="18" t="b">
        <f>IF(tblFactFinance[[#This Row],[MonthStart]] &lt;= Inputs!$B$1, TRUE, FALSE)</f>
        <v>1</v>
      </c>
    </row>
    <row r="556" spans="1:10" x14ac:dyDescent="0.3">
      <c r="A556" s="15">
        <v>45839</v>
      </c>
      <c r="B556" s="17" t="s">
        <v>60</v>
      </c>
      <c r="C556" s="3" t="s">
        <v>5</v>
      </c>
      <c r="D556" s="3" t="str">
        <f>VLOOKUP(C556, Ref_Department!$A$2:$D$6, 2, FALSE)</f>
        <v>Human Resources</v>
      </c>
      <c r="E556" s="3" t="s">
        <v>10</v>
      </c>
      <c r="F556" s="3" t="str">
        <f>VLOOKUP(E556, Ref_GLAccount!$A$2:$D$9, 2, FALSE)</f>
        <v>Professional Services</v>
      </c>
      <c r="G556" s="3" t="str">
        <f>VLOOKUP(E556, Ref_GLAccount!$A$2:$D$9, 3, FALSE)</f>
        <v>Professional Services</v>
      </c>
      <c r="H556" s="6" t="s">
        <v>66</v>
      </c>
      <c r="I556" s="7">
        <v>3755.14</v>
      </c>
      <c r="J556" s="18" t="b">
        <f>IF(tblFactFinance[[#This Row],[MonthStart]] &lt;= Inputs!$B$1, TRUE, FALSE)</f>
        <v>1</v>
      </c>
    </row>
    <row r="557" spans="1:10" x14ac:dyDescent="0.3">
      <c r="A557" s="15">
        <v>45839</v>
      </c>
      <c r="B557" s="17" t="s">
        <v>60</v>
      </c>
      <c r="C557" s="3" t="s">
        <v>5</v>
      </c>
      <c r="D557" s="3" t="str">
        <f>VLOOKUP(C557, Ref_Department!$A$2:$D$6, 2, FALSE)</f>
        <v>Human Resources</v>
      </c>
      <c r="E557" s="3" t="s">
        <v>10</v>
      </c>
      <c r="F557" s="3" t="str">
        <f>VLOOKUP(E557, Ref_GLAccount!$A$2:$D$9, 2, FALSE)</f>
        <v>Professional Services</v>
      </c>
      <c r="G557" s="3" t="str">
        <f>VLOOKUP(E557, Ref_GLAccount!$A$2:$D$9, 3, FALSE)</f>
        <v>Professional Services</v>
      </c>
      <c r="H557" s="6" t="s">
        <v>70</v>
      </c>
      <c r="I557" s="7">
        <v>3640</v>
      </c>
      <c r="J557" s="18" t="b">
        <f>IF(tblFactFinance[[#This Row],[MonthStart]] &lt;= Inputs!$B$1, TRUE, FALSE)</f>
        <v>1</v>
      </c>
    </row>
    <row r="558" spans="1:10" x14ac:dyDescent="0.3">
      <c r="A558" s="15">
        <v>45839</v>
      </c>
      <c r="B558" s="17" t="s">
        <v>60</v>
      </c>
      <c r="C558" s="3" t="s">
        <v>5</v>
      </c>
      <c r="D558" s="3" t="str">
        <f>VLOOKUP(C558, Ref_Department!$A$2:$D$6, 2, FALSE)</f>
        <v>Human Resources</v>
      </c>
      <c r="E558" s="3" t="s">
        <v>11</v>
      </c>
      <c r="F558" s="3" t="str">
        <f>VLOOKUP(E558, Ref_GLAccount!$A$2:$D$9, 2, FALSE)</f>
        <v>Office Supplies</v>
      </c>
      <c r="G558" s="3" t="str">
        <f>VLOOKUP(E558, Ref_GLAccount!$A$2:$D$9, 3, FALSE)</f>
        <v>Other OPEX</v>
      </c>
      <c r="H558" s="6" t="s">
        <v>66</v>
      </c>
      <c r="I558" s="7">
        <v>619.24</v>
      </c>
      <c r="J558" s="18" t="b">
        <f>IF(tblFactFinance[[#This Row],[MonthStart]] &lt;= Inputs!$B$1, TRUE, FALSE)</f>
        <v>1</v>
      </c>
    </row>
    <row r="559" spans="1:10" x14ac:dyDescent="0.3">
      <c r="A559" s="15">
        <v>45839</v>
      </c>
      <c r="B559" s="17" t="s">
        <v>60</v>
      </c>
      <c r="C559" s="3" t="s">
        <v>5</v>
      </c>
      <c r="D559" s="3" t="str">
        <f>VLOOKUP(C559, Ref_Department!$A$2:$D$6, 2, FALSE)</f>
        <v>Human Resources</v>
      </c>
      <c r="E559" s="3" t="s">
        <v>11</v>
      </c>
      <c r="F559" s="3" t="str">
        <f>VLOOKUP(E559, Ref_GLAccount!$A$2:$D$9, 2, FALSE)</f>
        <v>Office Supplies</v>
      </c>
      <c r="G559" s="3" t="str">
        <f>VLOOKUP(E559, Ref_GLAccount!$A$2:$D$9, 3, FALSE)</f>
        <v>Other OPEX</v>
      </c>
      <c r="H559" s="6" t="s">
        <v>70</v>
      </c>
      <c r="I559" s="7">
        <v>624</v>
      </c>
      <c r="J559" s="18" t="b">
        <f>IF(tblFactFinance[[#This Row],[MonthStart]] &lt;= Inputs!$B$1, TRUE, FALSE)</f>
        <v>1</v>
      </c>
    </row>
    <row r="560" spans="1:10" x14ac:dyDescent="0.3">
      <c r="A560" s="15">
        <v>45839</v>
      </c>
      <c r="B560" s="17" t="s">
        <v>60</v>
      </c>
      <c r="C560" s="3" t="s">
        <v>5</v>
      </c>
      <c r="D560" s="3" t="str">
        <f>VLOOKUP(C560, Ref_Department!$A$2:$D$6, 2, FALSE)</f>
        <v>Human Resources</v>
      </c>
      <c r="E560" s="3" t="s">
        <v>12</v>
      </c>
      <c r="F560" s="3" t="str">
        <f>VLOOKUP(E560, Ref_GLAccount!$A$2:$D$9, 2, FALSE)</f>
        <v>Training &amp; Development</v>
      </c>
      <c r="G560" s="3" t="str">
        <f>VLOOKUP(E560, Ref_GLAccount!$A$2:$D$9, 3, FALSE)</f>
        <v>Other OPEX</v>
      </c>
      <c r="H560" s="6" t="s">
        <v>66</v>
      </c>
      <c r="I560" s="7">
        <v>1753.81</v>
      </c>
      <c r="J560" s="18" t="b">
        <f>IF(tblFactFinance[[#This Row],[MonthStart]] &lt;= Inputs!$B$1, TRUE, FALSE)</f>
        <v>1</v>
      </c>
    </row>
    <row r="561" spans="1:10" x14ac:dyDescent="0.3">
      <c r="A561" s="15">
        <v>45839</v>
      </c>
      <c r="B561" s="17" t="s">
        <v>60</v>
      </c>
      <c r="C561" s="3" t="s">
        <v>5</v>
      </c>
      <c r="D561" s="3" t="str">
        <f>VLOOKUP(C561, Ref_Department!$A$2:$D$6, 2, FALSE)</f>
        <v>Human Resources</v>
      </c>
      <c r="E561" s="3" t="s">
        <v>12</v>
      </c>
      <c r="F561" s="3" t="str">
        <f>VLOOKUP(E561, Ref_GLAccount!$A$2:$D$9, 2, FALSE)</f>
        <v>Training &amp; Development</v>
      </c>
      <c r="G561" s="3" t="str">
        <f>VLOOKUP(E561, Ref_GLAccount!$A$2:$D$9, 3, FALSE)</f>
        <v>Other OPEX</v>
      </c>
      <c r="H561" s="6" t="s">
        <v>70</v>
      </c>
      <c r="I561" s="7">
        <v>1664</v>
      </c>
      <c r="J561" s="18" t="b">
        <f>IF(tblFactFinance[[#This Row],[MonthStart]] &lt;= Inputs!$B$1, TRUE, FALSE)</f>
        <v>1</v>
      </c>
    </row>
    <row r="562" spans="1:10" x14ac:dyDescent="0.3">
      <c r="A562" s="15">
        <v>45870</v>
      </c>
      <c r="B562" s="17" t="s">
        <v>61</v>
      </c>
      <c r="C562" s="3" t="s">
        <v>1</v>
      </c>
      <c r="D562" s="3" t="str">
        <f>VLOOKUP(C562, Ref_Department!$A$2:$D$6, 2, FALSE)</f>
        <v>Branch Operations</v>
      </c>
      <c r="E562" s="3" t="s">
        <v>33</v>
      </c>
      <c r="F562" s="3" t="str">
        <f>VLOOKUP(E562, Ref_GLAccount!$A$2:$D$9, 2, FALSE)</f>
        <v>Salaries</v>
      </c>
      <c r="G562" s="3" t="str">
        <f>VLOOKUP(E562, Ref_GLAccount!$A$2:$D$9, 3, FALSE)</f>
        <v>Personnel</v>
      </c>
      <c r="H562" s="6" t="s">
        <v>66</v>
      </c>
      <c r="I562" s="7">
        <v>199754.43</v>
      </c>
      <c r="J562" s="18" t="b">
        <f>IF(tblFactFinance[[#This Row],[MonthStart]] &lt;= Inputs!$B$1, TRUE, FALSE)</f>
        <v>1</v>
      </c>
    </row>
    <row r="563" spans="1:10" x14ac:dyDescent="0.3">
      <c r="A563" s="15">
        <v>45870</v>
      </c>
      <c r="B563" s="17" t="s">
        <v>61</v>
      </c>
      <c r="C563" s="3" t="s">
        <v>1</v>
      </c>
      <c r="D563" s="3" t="str">
        <f>VLOOKUP(C563, Ref_Department!$A$2:$D$6, 2, FALSE)</f>
        <v>Branch Operations</v>
      </c>
      <c r="E563" s="3" t="s">
        <v>33</v>
      </c>
      <c r="F563" s="3" t="str">
        <f>VLOOKUP(E563, Ref_GLAccount!$A$2:$D$9, 2, FALSE)</f>
        <v>Salaries</v>
      </c>
      <c r="G563" s="3" t="str">
        <f>VLOOKUP(E563, Ref_GLAccount!$A$2:$D$9, 3, FALSE)</f>
        <v>Personnel</v>
      </c>
      <c r="H563" s="6" t="s">
        <v>70</v>
      </c>
      <c r="I563" s="7">
        <v>200850</v>
      </c>
      <c r="J563" s="18" t="b">
        <f>IF(tblFactFinance[[#This Row],[MonthStart]] &lt;= Inputs!$B$1, TRUE, FALSE)</f>
        <v>1</v>
      </c>
    </row>
    <row r="564" spans="1:10" x14ac:dyDescent="0.3">
      <c r="A564" s="15">
        <v>45870</v>
      </c>
      <c r="B564" s="17" t="s">
        <v>61</v>
      </c>
      <c r="C564" s="3" t="s">
        <v>1</v>
      </c>
      <c r="D564" s="3" t="str">
        <f>VLOOKUP(C564, Ref_Department!$A$2:$D$6, 2, FALSE)</f>
        <v>Branch Operations</v>
      </c>
      <c r="E564" s="3" t="s">
        <v>37</v>
      </c>
      <c r="F564" s="3" t="str">
        <f>VLOOKUP(E564, Ref_GLAccount!$A$2:$D$9, 2, FALSE)</f>
        <v>Benefits</v>
      </c>
      <c r="G564" s="3" t="str">
        <f>VLOOKUP(E564, Ref_GLAccount!$A$2:$D$9, 3, FALSE)</f>
        <v>Personnel</v>
      </c>
      <c r="H564" s="6" t="s">
        <v>66</v>
      </c>
      <c r="I564" s="7">
        <v>43018.98</v>
      </c>
      <c r="J564" s="18" t="b">
        <f>IF(tblFactFinance[[#This Row],[MonthStart]] &lt;= Inputs!$B$1, TRUE, FALSE)</f>
        <v>1</v>
      </c>
    </row>
    <row r="565" spans="1:10" x14ac:dyDescent="0.3">
      <c r="A565" s="15">
        <v>45870</v>
      </c>
      <c r="B565" s="17" t="s">
        <v>61</v>
      </c>
      <c r="C565" s="3" t="s">
        <v>1</v>
      </c>
      <c r="D565" s="3" t="str">
        <f>VLOOKUP(C565, Ref_Department!$A$2:$D$6, 2, FALSE)</f>
        <v>Branch Operations</v>
      </c>
      <c r="E565" s="3" t="s">
        <v>37</v>
      </c>
      <c r="F565" s="3" t="str">
        <f>VLOOKUP(E565, Ref_GLAccount!$A$2:$D$9, 2, FALSE)</f>
        <v>Benefits</v>
      </c>
      <c r="G565" s="3" t="str">
        <f>VLOOKUP(E565, Ref_GLAccount!$A$2:$D$9, 3, FALSE)</f>
        <v>Personnel</v>
      </c>
      <c r="H565" s="6" t="s">
        <v>70</v>
      </c>
      <c r="I565" s="7">
        <v>44187</v>
      </c>
      <c r="J565" s="18" t="b">
        <f>IF(tblFactFinance[[#This Row],[MonthStart]] &lt;= Inputs!$B$1, TRUE, FALSE)</f>
        <v>1</v>
      </c>
    </row>
    <row r="566" spans="1:10" x14ac:dyDescent="0.3">
      <c r="A566" s="15">
        <v>45870</v>
      </c>
      <c r="B566" s="17" t="s">
        <v>61</v>
      </c>
      <c r="C566" s="3" t="s">
        <v>1</v>
      </c>
      <c r="D566" s="3" t="str">
        <f>VLOOKUP(C566, Ref_Department!$A$2:$D$6, 2, FALSE)</f>
        <v>Branch Operations</v>
      </c>
      <c r="E566" s="3" t="s">
        <v>7</v>
      </c>
      <c r="F566" s="3" t="str">
        <f>VLOOKUP(E566, Ref_GLAccount!$A$2:$D$9, 2, FALSE)</f>
        <v>Occupancy &amp; Facilities</v>
      </c>
      <c r="G566" s="3" t="str">
        <f>VLOOKUP(E566, Ref_GLAccount!$A$2:$D$9, 3, FALSE)</f>
        <v>Facilities</v>
      </c>
      <c r="H566" s="6" t="s">
        <v>66</v>
      </c>
      <c r="I566" s="7">
        <v>37208.720000000001</v>
      </c>
      <c r="J566" s="18" t="b">
        <f>IF(tblFactFinance[[#This Row],[MonthStart]] &lt;= Inputs!$B$1, TRUE, FALSE)</f>
        <v>1</v>
      </c>
    </row>
    <row r="567" spans="1:10" x14ac:dyDescent="0.3">
      <c r="A567" s="15">
        <v>45870</v>
      </c>
      <c r="B567" s="17" t="s">
        <v>61</v>
      </c>
      <c r="C567" s="3" t="s">
        <v>1</v>
      </c>
      <c r="D567" s="3" t="str">
        <f>VLOOKUP(C567, Ref_Department!$A$2:$D$6, 2, FALSE)</f>
        <v>Branch Operations</v>
      </c>
      <c r="E567" s="3" t="s">
        <v>7</v>
      </c>
      <c r="F567" s="3" t="str">
        <f>VLOOKUP(E567, Ref_GLAccount!$A$2:$D$9, 2, FALSE)</f>
        <v>Occupancy &amp; Facilities</v>
      </c>
      <c r="G567" s="3" t="str">
        <f>VLOOKUP(E567, Ref_GLAccount!$A$2:$D$9, 3, FALSE)</f>
        <v>Facilities</v>
      </c>
      <c r="H567" s="6" t="s">
        <v>70</v>
      </c>
      <c r="I567" s="7">
        <v>38000</v>
      </c>
      <c r="J567" s="18" t="b">
        <f>IF(tblFactFinance[[#This Row],[MonthStart]] &lt;= Inputs!$B$1, TRUE, FALSE)</f>
        <v>1</v>
      </c>
    </row>
    <row r="568" spans="1:10" x14ac:dyDescent="0.3">
      <c r="A568" s="15">
        <v>45870</v>
      </c>
      <c r="B568" s="17" t="s">
        <v>61</v>
      </c>
      <c r="C568" s="3" t="s">
        <v>1</v>
      </c>
      <c r="D568" s="3" t="str">
        <f>VLOOKUP(C568, Ref_Department!$A$2:$D$6, 2, FALSE)</f>
        <v>Branch Operations</v>
      </c>
      <c r="E568" s="3" t="s">
        <v>8</v>
      </c>
      <c r="F568" s="3" t="str">
        <f>VLOOKUP(E568, Ref_GLAccount!$A$2:$D$9, 2, FALSE)</f>
        <v>IT Software &amp; Subscriptions</v>
      </c>
      <c r="G568" s="3" t="str">
        <f>VLOOKUP(E568, Ref_GLAccount!$A$2:$D$9, 3, FALSE)</f>
        <v>IT</v>
      </c>
      <c r="H568" s="6" t="s">
        <v>66</v>
      </c>
      <c r="I568" s="7">
        <v>12188.06</v>
      </c>
      <c r="J568" s="18" t="b">
        <f>IF(tblFactFinance[[#This Row],[MonthStart]] &lt;= Inputs!$B$1, TRUE, FALSE)</f>
        <v>1</v>
      </c>
    </row>
    <row r="569" spans="1:10" x14ac:dyDescent="0.3">
      <c r="A569" s="15">
        <v>45870</v>
      </c>
      <c r="B569" s="17" t="s">
        <v>61</v>
      </c>
      <c r="C569" s="3" t="s">
        <v>1</v>
      </c>
      <c r="D569" s="3" t="str">
        <f>VLOOKUP(C569, Ref_Department!$A$2:$D$6, 2, FALSE)</f>
        <v>Branch Operations</v>
      </c>
      <c r="E569" s="3" t="s">
        <v>8</v>
      </c>
      <c r="F569" s="3" t="str">
        <f>VLOOKUP(E569, Ref_GLAccount!$A$2:$D$9, 2, FALSE)</f>
        <v>IT Software &amp; Subscriptions</v>
      </c>
      <c r="G569" s="3" t="str">
        <f>VLOOKUP(E569, Ref_GLAccount!$A$2:$D$9, 3, FALSE)</f>
        <v>IT</v>
      </c>
      <c r="H569" s="6" t="s">
        <v>70</v>
      </c>
      <c r="I569" s="7">
        <v>12480</v>
      </c>
      <c r="J569" s="18" t="b">
        <f>IF(tblFactFinance[[#This Row],[MonthStart]] &lt;= Inputs!$B$1, TRUE, FALSE)</f>
        <v>1</v>
      </c>
    </row>
    <row r="570" spans="1:10" x14ac:dyDescent="0.3">
      <c r="A570" s="15">
        <v>45870</v>
      </c>
      <c r="B570" s="17" t="s">
        <v>61</v>
      </c>
      <c r="C570" s="3" t="s">
        <v>1</v>
      </c>
      <c r="D570" s="3" t="str">
        <f>VLOOKUP(C570, Ref_Department!$A$2:$D$6, 2, FALSE)</f>
        <v>Branch Operations</v>
      </c>
      <c r="E570" s="3" t="s">
        <v>9</v>
      </c>
      <c r="F570" s="3" t="str">
        <f>VLOOKUP(E570, Ref_GLAccount!$A$2:$D$9, 2, FALSE)</f>
        <v>Marketing &amp; Advertising</v>
      </c>
      <c r="G570" s="3" t="str">
        <f>VLOOKUP(E570, Ref_GLAccount!$A$2:$D$9, 3, FALSE)</f>
        <v>Marketing</v>
      </c>
      <c r="H570" s="6" t="s">
        <v>66</v>
      </c>
      <c r="I570" s="7">
        <v>3799.62</v>
      </c>
      <c r="J570" s="18" t="b">
        <f>IF(tblFactFinance[[#This Row],[MonthStart]] &lt;= Inputs!$B$1, TRUE, FALSE)</f>
        <v>1</v>
      </c>
    </row>
    <row r="571" spans="1:10" x14ac:dyDescent="0.3">
      <c r="A571" s="15">
        <v>45870</v>
      </c>
      <c r="B571" s="17" t="s">
        <v>61</v>
      </c>
      <c r="C571" s="3" t="s">
        <v>1</v>
      </c>
      <c r="D571" s="3" t="str">
        <f>VLOOKUP(C571, Ref_Department!$A$2:$D$6, 2, FALSE)</f>
        <v>Branch Operations</v>
      </c>
      <c r="E571" s="3" t="s">
        <v>9</v>
      </c>
      <c r="F571" s="3" t="str">
        <f>VLOOKUP(E571, Ref_GLAccount!$A$2:$D$9, 2, FALSE)</f>
        <v>Marketing &amp; Advertising</v>
      </c>
      <c r="G571" s="3" t="str">
        <f>VLOOKUP(E571, Ref_GLAccount!$A$2:$D$9, 3, FALSE)</f>
        <v>Marketing</v>
      </c>
      <c r="H571" s="6" t="s">
        <v>70</v>
      </c>
      <c r="I571" s="7">
        <v>4160</v>
      </c>
      <c r="J571" s="18" t="b">
        <f>IF(tblFactFinance[[#This Row],[MonthStart]] &lt;= Inputs!$B$1, TRUE, FALSE)</f>
        <v>1</v>
      </c>
    </row>
    <row r="572" spans="1:10" x14ac:dyDescent="0.3">
      <c r="A572" s="15">
        <v>45870</v>
      </c>
      <c r="B572" s="17" t="s">
        <v>61</v>
      </c>
      <c r="C572" s="3" t="s">
        <v>1</v>
      </c>
      <c r="D572" s="3" t="str">
        <f>VLOOKUP(C572, Ref_Department!$A$2:$D$6, 2, FALSE)</f>
        <v>Branch Operations</v>
      </c>
      <c r="E572" s="3" t="s">
        <v>10</v>
      </c>
      <c r="F572" s="3" t="str">
        <f>VLOOKUP(E572, Ref_GLAccount!$A$2:$D$9, 2, FALSE)</f>
        <v>Professional Services</v>
      </c>
      <c r="G572" s="3" t="str">
        <f>VLOOKUP(E572, Ref_GLAccount!$A$2:$D$9, 3, FALSE)</f>
        <v>Professional Services</v>
      </c>
      <c r="H572" s="6" t="s">
        <v>66</v>
      </c>
      <c r="I572" s="7">
        <v>5232.5200000000004</v>
      </c>
      <c r="J572" s="18" t="b">
        <f>IF(tblFactFinance[[#This Row],[MonthStart]] &lt;= Inputs!$B$1, TRUE, FALSE)</f>
        <v>1</v>
      </c>
    </row>
    <row r="573" spans="1:10" x14ac:dyDescent="0.3">
      <c r="A573" s="15">
        <v>45870</v>
      </c>
      <c r="B573" s="17" t="s">
        <v>61</v>
      </c>
      <c r="C573" s="3" t="s">
        <v>1</v>
      </c>
      <c r="D573" s="3" t="str">
        <f>VLOOKUP(C573, Ref_Department!$A$2:$D$6, 2, FALSE)</f>
        <v>Branch Operations</v>
      </c>
      <c r="E573" s="3" t="s">
        <v>10</v>
      </c>
      <c r="F573" s="3" t="str">
        <f>VLOOKUP(E573, Ref_GLAccount!$A$2:$D$9, 2, FALSE)</f>
        <v>Professional Services</v>
      </c>
      <c r="G573" s="3" t="str">
        <f>VLOOKUP(E573, Ref_GLAccount!$A$2:$D$9, 3, FALSE)</f>
        <v>Professional Services</v>
      </c>
      <c r="H573" s="6" t="s">
        <v>70</v>
      </c>
      <c r="I573" s="7">
        <v>5200</v>
      </c>
      <c r="J573" s="18" t="b">
        <f>IF(tblFactFinance[[#This Row],[MonthStart]] &lt;= Inputs!$B$1, TRUE, FALSE)</f>
        <v>1</v>
      </c>
    </row>
    <row r="574" spans="1:10" x14ac:dyDescent="0.3">
      <c r="A574" s="15">
        <v>45870</v>
      </c>
      <c r="B574" s="17" t="s">
        <v>61</v>
      </c>
      <c r="C574" s="3" t="s">
        <v>1</v>
      </c>
      <c r="D574" s="3" t="str">
        <f>VLOOKUP(C574, Ref_Department!$A$2:$D$6, 2, FALSE)</f>
        <v>Branch Operations</v>
      </c>
      <c r="E574" s="3" t="s">
        <v>11</v>
      </c>
      <c r="F574" s="3" t="str">
        <f>VLOOKUP(E574, Ref_GLAccount!$A$2:$D$9, 2, FALSE)</f>
        <v>Office Supplies</v>
      </c>
      <c r="G574" s="3" t="str">
        <f>VLOOKUP(E574, Ref_GLAccount!$A$2:$D$9, 3, FALSE)</f>
        <v>Other OPEX</v>
      </c>
      <c r="H574" s="6" t="s">
        <v>66</v>
      </c>
      <c r="I574" s="7">
        <v>1575.59</v>
      </c>
      <c r="J574" s="18" t="b">
        <f>IF(tblFactFinance[[#This Row],[MonthStart]] &lt;= Inputs!$B$1, TRUE, FALSE)</f>
        <v>1</v>
      </c>
    </row>
    <row r="575" spans="1:10" x14ac:dyDescent="0.3">
      <c r="A575" s="15">
        <v>45870</v>
      </c>
      <c r="B575" s="17" t="s">
        <v>61</v>
      </c>
      <c r="C575" s="3" t="s">
        <v>1</v>
      </c>
      <c r="D575" s="3" t="str">
        <f>VLOOKUP(C575, Ref_Department!$A$2:$D$6, 2, FALSE)</f>
        <v>Branch Operations</v>
      </c>
      <c r="E575" s="3" t="s">
        <v>11</v>
      </c>
      <c r="F575" s="3" t="str">
        <f>VLOOKUP(E575, Ref_GLAccount!$A$2:$D$9, 2, FALSE)</f>
        <v>Office Supplies</v>
      </c>
      <c r="G575" s="3" t="str">
        <f>VLOOKUP(E575, Ref_GLAccount!$A$2:$D$9, 3, FALSE)</f>
        <v>Other OPEX</v>
      </c>
      <c r="H575" s="6" t="s">
        <v>70</v>
      </c>
      <c r="I575" s="7">
        <v>1560</v>
      </c>
      <c r="J575" s="18" t="b">
        <f>IF(tblFactFinance[[#This Row],[MonthStart]] &lt;= Inputs!$B$1, TRUE, FALSE)</f>
        <v>1</v>
      </c>
    </row>
    <row r="576" spans="1:10" x14ac:dyDescent="0.3">
      <c r="A576" s="15">
        <v>45870</v>
      </c>
      <c r="B576" s="17" t="s">
        <v>61</v>
      </c>
      <c r="C576" s="3" t="s">
        <v>1</v>
      </c>
      <c r="D576" s="3" t="str">
        <f>VLOOKUP(C576, Ref_Department!$A$2:$D$6, 2, FALSE)</f>
        <v>Branch Operations</v>
      </c>
      <c r="E576" s="3" t="s">
        <v>12</v>
      </c>
      <c r="F576" s="3" t="str">
        <f>VLOOKUP(E576, Ref_GLAccount!$A$2:$D$9, 2, FALSE)</f>
        <v>Training &amp; Development</v>
      </c>
      <c r="G576" s="3" t="str">
        <f>VLOOKUP(E576, Ref_GLAccount!$A$2:$D$9, 3, FALSE)</f>
        <v>Other OPEX</v>
      </c>
      <c r="H576" s="6" t="s">
        <v>66</v>
      </c>
      <c r="I576" s="7">
        <v>1229.92</v>
      </c>
      <c r="J576" s="18" t="b">
        <f>IF(tblFactFinance[[#This Row],[MonthStart]] &lt;= Inputs!$B$1, TRUE, FALSE)</f>
        <v>1</v>
      </c>
    </row>
    <row r="577" spans="1:10" x14ac:dyDescent="0.3">
      <c r="A577" s="15">
        <v>45870</v>
      </c>
      <c r="B577" s="17" t="s">
        <v>61</v>
      </c>
      <c r="C577" s="3" t="s">
        <v>1</v>
      </c>
      <c r="D577" s="3" t="str">
        <f>VLOOKUP(C577, Ref_Department!$A$2:$D$6, 2, FALSE)</f>
        <v>Branch Operations</v>
      </c>
      <c r="E577" s="3" t="s">
        <v>12</v>
      </c>
      <c r="F577" s="3" t="str">
        <f>VLOOKUP(E577, Ref_GLAccount!$A$2:$D$9, 2, FALSE)</f>
        <v>Training &amp; Development</v>
      </c>
      <c r="G577" s="3" t="str">
        <f>VLOOKUP(E577, Ref_GLAccount!$A$2:$D$9, 3, FALSE)</f>
        <v>Other OPEX</v>
      </c>
      <c r="H577" s="6" t="s">
        <v>70</v>
      </c>
      <c r="I577" s="7">
        <v>1248</v>
      </c>
      <c r="J577" s="18" t="b">
        <f>IF(tblFactFinance[[#This Row],[MonthStart]] &lt;= Inputs!$B$1, TRUE, FALSE)</f>
        <v>1</v>
      </c>
    </row>
    <row r="578" spans="1:10" x14ac:dyDescent="0.3">
      <c r="A578" s="15">
        <v>45870</v>
      </c>
      <c r="B578" s="17" t="s">
        <v>61</v>
      </c>
      <c r="C578" s="3" t="s">
        <v>2</v>
      </c>
      <c r="D578" s="3" t="str">
        <f>VLOOKUP(C578, Ref_Department!$A$2:$D$6, 2, FALSE)</f>
        <v>Lending</v>
      </c>
      <c r="E578" s="3" t="s">
        <v>33</v>
      </c>
      <c r="F578" s="3" t="str">
        <f>VLOOKUP(E578, Ref_GLAccount!$A$2:$D$9, 2, FALSE)</f>
        <v>Salaries</v>
      </c>
      <c r="G578" s="3" t="str">
        <f>VLOOKUP(E578, Ref_GLAccount!$A$2:$D$9, 3, FALSE)</f>
        <v>Personnel</v>
      </c>
      <c r="H578" s="6" t="s">
        <v>66</v>
      </c>
      <c r="I578" s="7">
        <v>168099.07</v>
      </c>
      <c r="J578" s="18" t="b">
        <f>IF(tblFactFinance[[#This Row],[MonthStart]] &lt;= Inputs!$B$1, TRUE, FALSE)</f>
        <v>1</v>
      </c>
    </row>
    <row r="579" spans="1:10" x14ac:dyDescent="0.3">
      <c r="A579" s="15">
        <v>45870</v>
      </c>
      <c r="B579" s="17" t="s">
        <v>61</v>
      </c>
      <c r="C579" s="3" t="s">
        <v>2</v>
      </c>
      <c r="D579" s="3" t="str">
        <f>VLOOKUP(C579, Ref_Department!$A$2:$D$6, 2, FALSE)</f>
        <v>Lending</v>
      </c>
      <c r="E579" s="3" t="s">
        <v>33</v>
      </c>
      <c r="F579" s="3" t="str">
        <f>VLOOKUP(E579, Ref_GLAccount!$A$2:$D$9, 2, FALSE)</f>
        <v>Salaries</v>
      </c>
      <c r="G579" s="3" t="str">
        <f>VLOOKUP(E579, Ref_GLAccount!$A$2:$D$9, 3, FALSE)</f>
        <v>Personnel</v>
      </c>
      <c r="H579" s="6" t="s">
        <v>70</v>
      </c>
      <c r="I579" s="7">
        <v>173040</v>
      </c>
      <c r="J579" s="18" t="b">
        <f>IF(tblFactFinance[[#This Row],[MonthStart]] &lt;= Inputs!$B$1, TRUE, FALSE)</f>
        <v>1</v>
      </c>
    </row>
    <row r="580" spans="1:10" x14ac:dyDescent="0.3">
      <c r="A580" s="15">
        <v>45870</v>
      </c>
      <c r="B580" s="17" t="s">
        <v>61</v>
      </c>
      <c r="C580" s="3" t="s">
        <v>2</v>
      </c>
      <c r="D580" s="3" t="str">
        <f>VLOOKUP(C580, Ref_Department!$A$2:$D$6, 2, FALSE)</f>
        <v>Lending</v>
      </c>
      <c r="E580" s="3" t="s">
        <v>37</v>
      </c>
      <c r="F580" s="3" t="str">
        <f>VLOOKUP(E580, Ref_GLAccount!$A$2:$D$9, 2, FALSE)</f>
        <v>Benefits</v>
      </c>
      <c r="G580" s="3" t="str">
        <f>VLOOKUP(E580, Ref_GLAccount!$A$2:$D$9, 3, FALSE)</f>
        <v>Personnel</v>
      </c>
      <c r="H580" s="6" t="s">
        <v>66</v>
      </c>
      <c r="I580" s="7">
        <v>38634.97</v>
      </c>
      <c r="J580" s="18" t="b">
        <f>IF(tblFactFinance[[#This Row],[MonthStart]] &lt;= Inputs!$B$1, TRUE, FALSE)</f>
        <v>1</v>
      </c>
    </row>
    <row r="581" spans="1:10" x14ac:dyDescent="0.3">
      <c r="A581" s="15">
        <v>45870</v>
      </c>
      <c r="B581" s="17" t="s">
        <v>61</v>
      </c>
      <c r="C581" s="3" t="s">
        <v>2</v>
      </c>
      <c r="D581" s="3" t="str">
        <f>VLOOKUP(C581, Ref_Department!$A$2:$D$6, 2, FALSE)</f>
        <v>Lending</v>
      </c>
      <c r="E581" s="3" t="s">
        <v>37</v>
      </c>
      <c r="F581" s="3" t="str">
        <f>VLOOKUP(E581, Ref_GLAccount!$A$2:$D$9, 2, FALSE)</f>
        <v>Benefits</v>
      </c>
      <c r="G581" s="3" t="str">
        <f>VLOOKUP(E581, Ref_GLAccount!$A$2:$D$9, 3, FALSE)</f>
        <v>Personnel</v>
      </c>
      <c r="H581" s="6" t="s">
        <v>70</v>
      </c>
      <c r="I581" s="7">
        <v>38068.800000000003</v>
      </c>
      <c r="J581" s="18" t="b">
        <f>IF(tblFactFinance[[#This Row],[MonthStart]] &lt;= Inputs!$B$1, TRUE, FALSE)</f>
        <v>1</v>
      </c>
    </row>
    <row r="582" spans="1:10" x14ac:dyDescent="0.3">
      <c r="A582" s="15">
        <v>45870</v>
      </c>
      <c r="B582" s="17" t="s">
        <v>61</v>
      </c>
      <c r="C582" s="3" t="s">
        <v>2</v>
      </c>
      <c r="D582" s="3" t="str">
        <f>VLOOKUP(C582, Ref_Department!$A$2:$D$6, 2, FALSE)</f>
        <v>Lending</v>
      </c>
      <c r="E582" s="3" t="s">
        <v>7</v>
      </c>
      <c r="F582" s="3" t="str">
        <f>VLOOKUP(E582, Ref_GLAccount!$A$2:$D$9, 2, FALSE)</f>
        <v>Occupancy &amp; Facilities</v>
      </c>
      <c r="G582" s="3" t="str">
        <f>VLOOKUP(E582, Ref_GLAccount!$A$2:$D$9, 3, FALSE)</f>
        <v>Facilities</v>
      </c>
      <c r="H582" s="6" t="s">
        <v>66</v>
      </c>
      <c r="I582" s="7">
        <v>17098.8</v>
      </c>
      <c r="J582" s="18" t="b">
        <f>IF(tblFactFinance[[#This Row],[MonthStart]] &lt;= Inputs!$B$1, TRUE, FALSE)</f>
        <v>1</v>
      </c>
    </row>
    <row r="583" spans="1:10" x14ac:dyDescent="0.3">
      <c r="A583" s="15">
        <v>45870</v>
      </c>
      <c r="B583" s="17" t="s">
        <v>61</v>
      </c>
      <c r="C583" s="3" t="s">
        <v>2</v>
      </c>
      <c r="D583" s="3" t="str">
        <f>VLOOKUP(C583, Ref_Department!$A$2:$D$6, 2, FALSE)</f>
        <v>Lending</v>
      </c>
      <c r="E583" s="3" t="s">
        <v>7</v>
      </c>
      <c r="F583" s="3" t="str">
        <f>VLOOKUP(E583, Ref_GLAccount!$A$2:$D$9, 2, FALSE)</f>
        <v>Occupancy &amp; Facilities</v>
      </c>
      <c r="G583" s="3" t="str">
        <f>VLOOKUP(E583, Ref_GLAccount!$A$2:$D$9, 3, FALSE)</f>
        <v>Facilities</v>
      </c>
      <c r="H583" s="6" t="s">
        <v>70</v>
      </c>
      <c r="I583" s="7">
        <v>16000</v>
      </c>
      <c r="J583" s="18" t="b">
        <f>IF(tblFactFinance[[#This Row],[MonthStart]] &lt;= Inputs!$B$1, TRUE, FALSE)</f>
        <v>1</v>
      </c>
    </row>
    <row r="584" spans="1:10" x14ac:dyDescent="0.3">
      <c r="A584" s="15">
        <v>45870</v>
      </c>
      <c r="B584" s="17" t="s">
        <v>61</v>
      </c>
      <c r="C584" s="3" t="s">
        <v>2</v>
      </c>
      <c r="D584" s="3" t="str">
        <f>VLOOKUP(C584, Ref_Department!$A$2:$D$6, 2, FALSE)</f>
        <v>Lending</v>
      </c>
      <c r="E584" s="3" t="s">
        <v>8</v>
      </c>
      <c r="F584" s="3" t="str">
        <f>VLOOKUP(E584, Ref_GLAccount!$A$2:$D$9, 2, FALSE)</f>
        <v>IT Software &amp; Subscriptions</v>
      </c>
      <c r="G584" s="3" t="str">
        <f>VLOOKUP(E584, Ref_GLAccount!$A$2:$D$9, 3, FALSE)</f>
        <v>IT</v>
      </c>
      <c r="H584" s="6" t="s">
        <v>66</v>
      </c>
      <c r="I584" s="7">
        <v>9374.32</v>
      </c>
      <c r="J584" s="18" t="b">
        <f>IF(tblFactFinance[[#This Row],[MonthStart]] &lt;= Inputs!$B$1, TRUE, FALSE)</f>
        <v>1</v>
      </c>
    </row>
    <row r="585" spans="1:10" x14ac:dyDescent="0.3">
      <c r="A585" s="15">
        <v>45870</v>
      </c>
      <c r="B585" s="17" t="s">
        <v>61</v>
      </c>
      <c r="C585" s="3" t="s">
        <v>2</v>
      </c>
      <c r="D585" s="3" t="str">
        <f>VLOOKUP(C585, Ref_Department!$A$2:$D$6, 2, FALSE)</f>
        <v>Lending</v>
      </c>
      <c r="E585" s="3" t="s">
        <v>8</v>
      </c>
      <c r="F585" s="3" t="str">
        <f>VLOOKUP(E585, Ref_GLAccount!$A$2:$D$9, 2, FALSE)</f>
        <v>IT Software &amp; Subscriptions</v>
      </c>
      <c r="G585" s="3" t="str">
        <f>VLOOKUP(E585, Ref_GLAccount!$A$2:$D$9, 3, FALSE)</f>
        <v>IT</v>
      </c>
      <c r="H585" s="6" t="s">
        <v>70</v>
      </c>
      <c r="I585" s="7">
        <v>9360</v>
      </c>
      <c r="J585" s="18" t="b">
        <f>IF(tblFactFinance[[#This Row],[MonthStart]] &lt;= Inputs!$B$1, TRUE, FALSE)</f>
        <v>1</v>
      </c>
    </row>
    <row r="586" spans="1:10" x14ac:dyDescent="0.3">
      <c r="A586" s="15">
        <v>45870</v>
      </c>
      <c r="B586" s="17" t="s">
        <v>61</v>
      </c>
      <c r="C586" s="3" t="s">
        <v>2</v>
      </c>
      <c r="D586" s="3" t="str">
        <f>VLOOKUP(C586, Ref_Department!$A$2:$D$6, 2, FALSE)</f>
        <v>Lending</v>
      </c>
      <c r="E586" s="3" t="s">
        <v>9</v>
      </c>
      <c r="F586" s="3" t="str">
        <f>VLOOKUP(E586, Ref_GLAccount!$A$2:$D$9, 2, FALSE)</f>
        <v>Marketing &amp; Advertising</v>
      </c>
      <c r="G586" s="3" t="str">
        <f>VLOOKUP(E586, Ref_GLAccount!$A$2:$D$9, 3, FALSE)</f>
        <v>Marketing</v>
      </c>
      <c r="H586" s="6" t="s">
        <v>66</v>
      </c>
      <c r="I586" s="7">
        <v>6113.29</v>
      </c>
      <c r="J586" s="18" t="b">
        <f>IF(tblFactFinance[[#This Row],[MonthStart]] &lt;= Inputs!$B$1, TRUE, FALSE)</f>
        <v>1</v>
      </c>
    </row>
    <row r="587" spans="1:10" x14ac:dyDescent="0.3">
      <c r="A587" s="15">
        <v>45870</v>
      </c>
      <c r="B587" s="17" t="s">
        <v>61</v>
      </c>
      <c r="C587" s="3" t="s">
        <v>2</v>
      </c>
      <c r="D587" s="3" t="str">
        <f>VLOOKUP(C587, Ref_Department!$A$2:$D$6, 2, FALSE)</f>
        <v>Lending</v>
      </c>
      <c r="E587" s="3" t="s">
        <v>9</v>
      </c>
      <c r="F587" s="3" t="str">
        <f>VLOOKUP(E587, Ref_GLAccount!$A$2:$D$9, 2, FALSE)</f>
        <v>Marketing &amp; Advertising</v>
      </c>
      <c r="G587" s="3" t="str">
        <f>VLOOKUP(E587, Ref_GLAccount!$A$2:$D$9, 3, FALSE)</f>
        <v>Marketing</v>
      </c>
      <c r="H587" s="6" t="s">
        <v>70</v>
      </c>
      <c r="I587" s="7">
        <v>6240</v>
      </c>
      <c r="J587" s="18" t="b">
        <f>IF(tblFactFinance[[#This Row],[MonthStart]] &lt;= Inputs!$B$1, TRUE, FALSE)</f>
        <v>1</v>
      </c>
    </row>
    <row r="588" spans="1:10" x14ac:dyDescent="0.3">
      <c r="A588" s="15">
        <v>45870</v>
      </c>
      <c r="B588" s="17" t="s">
        <v>61</v>
      </c>
      <c r="C588" s="3" t="s">
        <v>2</v>
      </c>
      <c r="D588" s="3" t="str">
        <f>VLOOKUP(C588, Ref_Department!$A$2:$D$6, 2, FALSE)</f>
        <v>Lending</v>
      </c>
      <c r="E588" s="3" t="s">
        <v>10</v>
      </c>
      <c r="F588" s="3" t="str">
        <f>VLOOKUP(E588, Ref_GLAccount!$A$2:$D$9, 2, FALSE)</f>
        <v>Professional Services</v>
      </c>
      <c r="G588" s="3" t="str">
        <f>VLOOKUP(E588, Ref_GLAccount!$A$2:$D$9, 3, FALSE)</f>
        <v>Professional Services</v>
      </c>
      <c r="H588" s="6" t="s">
        <v>66</v>
      </c>
      <c r="I588" s="7">
        <v>20123.169999999998</v>
      </c>
      <c r="J588" s="18" t="b">
        <f>IF(tblFactFinance[[#This Row],[MonthStart]] &lt;= Inputs!$B$1, TRUE, FALSE)</f>
        <v>1</v>
      </c>
    </row>
    <row r="589" spans="1:10" x14ac:dyDescent="0.3">
      <c r="A589" s="15">
        <v>45870</v>
      </c>
      <c r="B589" s="17" t="s">
        <v>61</v>
      </c>
      <c r="C589" s="3" t="s">
        <v>2</v>
      </c>
      <c r="D589" s="3" t="str">
        <f>VLOOKUP(C589, Ref_Department!$A$2:$D$6, 2, FALSE)</f>
        <v>Lending</v>
      </c>
      <c r="E589" s="3" t="s">
        <v>10</v>
      </c>
      <c r="F589" s="3" t="str">
        <f>VLOOKUP(E589, Ref_GLAccount!$A$2:$D$9, 2, FALSE)</f>
        <v>Professional Services</v>
      </c>
      <c r="G589" s="3" t="str">
        <f>VLOOKUP(E589, Ref_GLAccount!$A$2:$D$9, 3, FALSE)</f>
        <v>Professional Services</v>
      </c>
      <c r="H589" s="6" t="s">
        <v>70</v>
      </c>
      <c r="I589" s="7">
        <v>8320</v>
      </c>
      <c r="J589" s="18" t="b">
        <f>IF(tblFactFinance[[#This Row],[MonthStart]] &lt;= Inputs!$B$1, TRUE, FALSE)</f>
        <v>1</v>
      </c>
    </row>
    <row r="590" spans="1:10" x14ac:dyDescent="0.3">
      <c r="A590" s="15">
        <v>45870</v>
      </c>
      <c r="B590" s="17" t="s">
        <v>61</v>
      </c>
      <c r="C590" s="3" t="s">
        <v>2</v>
      </c>
      <c r="D590" s="3" t="str">
        <f>VLOOKUP(C590, Ref_Department!$A$2:$D$6, 2, FALSE)</f>
        <v>Lending</v>
      </c>
      <c r="E590" s="3" t="s">
        <v>11</v>
      </c>
      <c r="F590" s="3" t="str">
        <f>VLOOKUP(E590, Ref_GLAccount!$A$2:$D$9, 2, FALSE)</f>
        <v>Office Supplies</v>
      </c>
      <c r="G590" s="3" t="str">
        <f>VLOOKUP(E590, Ref_GLAccount!$A$2:$D$9, 3, FALSE)</f>
        <v>Other OPEX</v>
      </c>
      <c r="H590" s="6" t="s">
        <v>66</v>
      </c>
      <c r="I590" s="7">
        <v>933.39</v>
      </c>
      <c r="J590" s="18" t="b">
        <f>IF(tblFactFinance[[#This Row],[MonthStart]] &lt;= Inputs!$B$1, TRUE, FALSE)</f>
        <v>1</v>
      </c>
    </row>
    <row r="591" spans="1:10" x14ac:dyDescent="0.3">
      <c r="A591" s="15">
        <v>45870</v>
      </c>
      <c r="B591" s="17" t="s">
        <v>61</v>
      </c>
      <c r="C591" s="3" t="s">
        <v>2</v>
      </c>
      <c r="D591" s="3" t="str">
        <f>VLOOKUP(C591, Ref_Department!$A$2:$D$6, 2, FALSE)</f>
        <v>Lending</v>
      </c>
      <c r="E591" s="3" t="s">
        <v>11</v>
      </c>
      <c r="F591" s="3" t="str">
        <f>VLOOKUP(E591, Ref_GLAccount!$A$2:$D$9, 2, FALSE)</f>
        <v>Office Supplies</v>
      </c>
      <c r="G591" s="3" t="str">
        <f>VLOOKUP(E591, Ref_GLAccount!$A$2:$D$9, 3, FALSE)</f>
        <v>Other OPEX</v>
      </c>
      <c r="H591" s="6" t="s">
        <v>70</v>
      </c>
      <c r="I591" s="7">
        <v>936</v>
      </c>
      <c r="J591" s="18" t="b">
        <f>IF(tblFactFinance[[#This Row],[MonthStart]] &lt;= Inputs!$B$1, TRUE, FALSE)</f>
        <v>1</v>
      </c>
    </row>
    <row r="592" spans="1:10" x14ac:dyDescent="0.3">
      <c r="A592" s="15">
        <v>45870</v>
      </c>
      <c r="B592" s="17" t="s">
        <v>61</v>
      </c>
      <c r="C592" s="3" t="s">
        <v>2</v>
      </c>
      <c r="D592" s="3" t="str">
        <f>VLOOKUP(C592, Ref_Department!$A$2:$D$6, 2, FALSE)</f>
        <v>Lending</v>
      </c>
      <c r="E592" s="3" t="s">
        <v>12</v>
      </c>
      <c r="F592" s="3" t="str">
        <f>VLOOKUP(E592, Ref_GLAccount!$A$2:$D$9, 2, FALSE)</f>
        <v>Training &amp; Development</v>
      </c>
      <c r="G592" s="3" t="str">
        <f>VLOOKUP(E592, Ref_GLAccount!$A$2:$D$9, 3, FALSE)</f>
        <v>Other OPEX</v>
      </c>
      <c r="H592" s="6" t="s">
        <v>66</v>
      </c>
      <c r="I592" s="7">
        <v>1382.34</v>
      </c>
      <c r="J592" s="18" t="b">
        <f>IF(tblFactFinance[[#This Row],[MonthStart]] &lt;= Inputs!$B$1, TRUE, FALSE)</f>
        <v>1</v>
      </c>
    </row>
    <row r="593" spans="1:10" x14ac:dyDescent="0.3">
      <c r="A593" s="15">
        <v>45870</v>
      </c>
      <c r="B593" s="17" t="s">
        <v>61</v>
      </c>
      <c r="C593" s="3" t="s">
        <v>2</v>
      </c>
      <c r="D593" s="3" t="str">
        <f>VLOOKUP(C593, Ref_Department!$A$2:$D$6, 2, FALSE)</f>
        <v>Lending</v>
      </c>
      <c r="E593" s="3" t="s">
        <v>12</v>
      </c>
      <c r="F593" s="3" t="str">
        <f>VLOOKUP(E593, Ref_GLAccount!$A$2:$D$9, 2, FALSE)</f>
        <v>Training &amp; Development</v>
      </c>
      <c r="G593" s="3" t="str">
        <f>VLOOKUP(E593, Ref_GLAccount!$A$2:$D$9, 3, FALSE)</f>
        <v>Other OPEX</v>
      </c>
      <c r="H593" s="6" t="s">
        <v>70</v>
      </c>
      <c r="I593" s="7">
        <v>1456</v>
      </c>
      <c r="J593" s="18" t="b">
        <f>IF(tblFactFinance[[#This Row],[MonthStart]] &lt;= Inputs!$B$1, TRUE, FALSE)</f>
        <v>1</v>
      </c>
    </row>
    <row r="594" spans="1:10" x14ac:dyDescent="0.3">
      <c r="A594" s="15">
        <v>45870</v>
      </c>
      <c r="B594" s="17" t="s">
        <v>61</v>
      </c>
      <c r="C594" s="3" t="s">
        <v>3</v>
      </c>
      <c r="D594" s="3" t="str">
        <f>VLOOKUP(C594, Ref_Department!$A$2:$D$6, 2, FALSE)</f>
        <v>Information Technology</v>
      </c>
      <c r="E594" s="3" t="s">
        <v>33</v>
      </c>
      <c r="F594" s="3" t="str">
        <f>VLOOKUP(E594, Ref_GLAccount!$A$2:$D$9, 2, FALSE)</f>
        <v>Salaries</v>
      </c>
      <c r="G594" s="3" t="str">
        <f>VLOOKUP(E594, Ref_GLAccount!$A$2:$D$9, 3, FALSE)</f>
        <v>Personnel</v>
      </c>
      <c r="H594" s="6" t="s">
        <v>66</v>
      </c>
      <c r="I594" s="7">
        <v>150651.37</v>
      </c>
      <c r="J594" s="18" t="b">
        <f>IF(tblFactFinance[[#This Row],[MonthStart]] &lt;= Inputs!$B$1, TRUE, FALSE)</f>
        <v>1</v>
      </c>
    </row>
    <row r="595" spans="1:10" x14ac:dyDescent="0.3">
      <c r="A595" s="15">
        <v>45870</v>
      </c>
      <c r="B595" s="17" t="s">
        <v>61</v>
      </c>
      <c r="C595" s="3" t="s">
        <v>3</v>
      </c>
      <c r="D595" s="3" t="str">
        <f>VLOOKUP(C595, Ref_Department!$A$2:$D$6, 2, FALSE)</f>
        <v>Information Technology</v>
      </c>
      <c r="E595" s="3" t="s">
        <v>33</v>
      </c>
      <c r="F595" s="3" t="str">
        <f>VLOOKUP(E595, Ref_GLAccount!$A$2:$D$9, 2, FALSE)</f>
        <v>Salaries</v>
      </c>
      <c r="G595" s="3" t="str">
        <f>VLOOKUP(E595, Ref_GLAccount!$A$2:$D$9, 3, FALSE)</f>
        <v>Personnel</v>
      </c>
      <c r="H595" s="6" t="s">
        <v>70</v>
      </c>
      <c r="I595" s="7">
        <v>151410</v>
      </c>
      <c r="J595" s="18" t="b">
        <f>IF(tblFactFinance[[#This Row],[MonthStart]] &lt;= Inputs!$B$1, TRUE, FALSE)</f>
        <v>1</v>
      </c>
    </row>
    <row r="596" spans="1:10" x14ac:dyDescent="0.3">
      <c r="A596" s="15">
        <v>45870</v>
      </c>
      <c r="B596" s="17" t="s">
        <v>61</v>
      </c>
      <c r="C596" s="3" t="s">
        <v>3</v>
      </c>
      <c r="D596" s="3" t="str">
        <f>VLOOKUP(C596, Ref_Department!$A$2:$D$6, 2, FALSE)</f>
        <v>Information Technology</v>
      </c>
      <c r="E596" s="3" t="s">
        <v>37</v>
      </c>
      <c r="F596" s="3" t="str">
        <f>VLOOKUP(E596, Ref_GLAccount!$A$2:$D$9, 2, FALSE)</f>
        <v>Benefits</v>
      </c>
      <c r="G596" s="3" t="str">
        <f>VLOOKUP(E596, Ref_GLAccount!$A$2:$D$9, 3, FALSE)</f>
        <v>Personnel</v>
      </c>
      <c r="H596" s="6" t="s">
        <v>66</v>
      </c>
      <c r="I596" s="7">
        <v>33391.72</v>
      </c>
      <c r="J596" s="18" t="b">
        <f>IF(tblFactFinance[[#This Row],[MonthStart]] &lt;= Inputs!$B$1, TRUE, FALSE)</f>
        <v>1</v>
      </c>
    </row>
    <row r="597" spans="1:10" x14ac:dyDescent="0.3">
      <c r="A597" s="15">
        <v>45870</v>
      </c>
      <c r="B597" s="17" t="s">
        <v>61</v>
      </c>
      <c r="C597" s="3" t="s">
        <v>3</v>
      </c>
      <c r="D597" s="3" t="str">
        <f>VLOOKUP(C597, Ref_Department!$A$2:$D$6, 2, FALSE)</f>
        <v>Information Technology</v>
      </c>
      <c r="E597" s="3" t="s">
        <v>37</v>
      </c>
      <c r="F597" s="3" t="str">
        <f>VLOOKUP(E597, Ref_GLAccount!$A$2:$D$9, 2, FALSE)</f>
        <v>Benefits</v>
      </c>
      <c r="G597" s="3" t="str">
        <f>VLOOKUP(E597, Ref_GLAccount!$A$2:$D$9, 3, FALSE)</f>
        <v>Personnel</v>
      </c>
      <c r="H597" s="6" t="s">
        <v>70</v>
      </c>
      <c r="I597" s="7">
        <v>33310.199999999997</v>
      </c>
      <c r="J597" s="18" t="b">
        <f>IF(tblFactFinance[[#This Row],[MonthStart]] &lt;= Inputs!$B$1, TRUE, FALSE)</f>
        <v>1</v>
      </c>
    </row>
    <row r="598" spans="1:10" x14ac:dyDescent="0.3">
      <c r="A598" s="15">
        <v>45870</v>
      </c>
      <c r="B598" s="17" t="s">
        <v>61</v>
      </c>
      <c r="C598" s="3" t="s">
        <v>3</v>
      </c>
      <c r="D598" s="3" t="str">
        <f>VLOOKUP(C598, Ref_Department!$A$2:$D$6, 2, FALSE)</f>
        <v>Information Technology</v>
      </c>
      <c r="E598" s="3" t="s">
        <v>7</v>
      </c>
      <c r="F598" s="3" t="str">
        <f>VLOOKUP(E598, Ref_GLAccount!$A$2:$D$9, 2, FALSE)</f>
        <v>Occupancy &amp; Facilities</v>
      </c>
      <c r="G598" s="3" t="str">
        <f>VLOOKUP(E598, Ref_GLAccount!$A$2:$D$9, 3, FALSE)</f>
        <v>Facilities</v>
      </c>
      <c r="H598" s="6" t="s">
        <v>66</v>
      </c>
      <c r="I598" s="7">
        <v>9664.08</v>
      </c>
      <c r="J598" s="18" t="b">
        <f>IF(tblFactFinance[[#This Row],[MonthStart]] &lt;= Inputs!$B$1, TRUE, FALSE)</f>
        <v>1</v>
      </c>
    </row>
    <row r="599" spans="1:10" x14ac:dyDescent="0.3">
      <c r="A599" s="15">
        <v>45870</v>
      </c>
      <c r="B599" s="17" t="s">
        <v>61</v>
      </c>
      <c r="C599" s="3" t="s">
        <v>3</v>
      </c>
      <c r="D599" s="3" t="str">
        <f>VLOOKUP(C599, Ref_Department!$A$2:$D$6, 2, FALSE)</f>
        <v>Information Technology</v>
      </c>
      <c r="E599" s="3" t="s">
        <v>7</v>
      </c>
      <c r="F599" s="3" t="str">
        <f>VLOOKUP(E599, Ref_GLAccount!$A$2:$D$9, 2, FALSE)</f>
        <v>Occupancy &amp; Facilities</v>
      </c>
      <c r="G599" s="3" t="str">
        <f>VLOOKUP(E599, Ref_GLAccount!$A$2:$D$9, 3, FALSE)</f>
        <v>Facilities</v>
      </c>
      <c r="H599" s="6" t="s">
        <v>70</v>
      </c>
      <c r="I599" s="7">
        <v>9000</v>
      </c>
      <c r="J599" s="18" t="b">
        <f>IF(tblFactFinance[[#This Row],[MonthStart]] &lt;= Inputs!$B$1, TRUE, FALSE)</f>
        <v>1</v>
      </c>
    </row>
    <row r="600" spans="1:10" x14ac:dyDescent="0.3">
      <c r="A600" s="15">
        <v>45870</v>
      </c>
      <c r="B600" s="17" t="s">
        <v>61</v>
      </c>
      <c r="C600" s="3" t="s">
        <v>3</v>
      </c>
      <c r="D600" s="3" t="str">
        <f>VLOOKUP(C600, Ref_Department!$A$2:$D$6, 2, FALSE)</f>
        <v>Information Technology</v>
      </c>
      <c r="E600" s="3" t="s">
        <v>8</v>
      </c>
      <c r="F600" s="3" t="str">
        <f>VLOOKUP(E600, Ref_GLAccount!$A$2:$D$9, 2, FALSE)</f>
        <v>IT Software &amp; Subscriptions</v>
      </c>
      <c r="G600" s="3" t="str">
        <f>VLOOKUP(E600, Ref_GLAccount!$A$2:$D$9, 3, FALSE)</f>
        <v>IT</v>
      </c>
      <c r="H600" s="6" t="s">
        <v>66</v>
      </c>
      <c r="I600" s="7">
        <v>45328.44</v>
      </c>
      <c r="J600" s="18" t="b">
        <f>IF(tblFactFinance[[#This Row],[MonthStart]] &lt;= Inputs!$B$1, TRUE, FALSE)</f>
        <v>1</v>
      </c>
    </row>
    <row r="601" spans="1:10" x14ac:dyDescent="0.3">
      <c r="A601" s="15">
        <v>45870</v>
      </c>
      <c r="B601" s="17" t="s">
        <v>61</v>
      </c>
      <c r="C601" s="3" t="s">
        <v>3</v>
      </c>
      <c r="D601" s="3" t="str">
        <f>VLOOKUP(C601, Ref_Department!$A$2:$D$6, 2, FALSE)</f>
        <v>Information Technology</v>
      </c>
      <c r="E601" s="3" t="s">
        <v>8</v>
      </c>
      <c r="F601" s="3" t="str">
        <f>VLOOKUP(E601, Ref_GLAccount!$A$2:$D$9, 2, FALSE)</f>
        <v>IT Software &amp; Subscriptions</v>
      </c>
      <c r="G601" s="3" t="str">
        <f>VLOOKUP(E601, Ref_GLAccount!$A$2:$D$9, 3, FALSE)</f>
        <v>IT</v>
      </c>
      <c r="H601" s="6" t="s">
        <v>70</v>
      </c>
      <c r="I601" s="7">
        <v>43680</v>
      </c>
      <c r="J601" s="18" t="b">
        <f>IF(tblFactFinance[[#This Row],[MonthStart]] &lt;= Inputs!$B$1, TRUE, FALSE)</f>
        <v>1</v>
      </c>
    </row>
    <row r="602" spans="1:10" x14ac:dyDescent="0.3">
      <c r="A602" s="15">
        <v>45870</v>
      </c>
      <c r="B602" s="17" t="s">
        <v>61</v>
      </c>
      <c r="C602" s="3" t="s">
        <v>3</v>
      </c>
      <c r="D602" s="3" t="str">
        <f>VLOOKUP(C602, Ref_Department!$A$2:$D$6, 2, FALSE)</f>
        <v>Information Technology</v>
      </c>
      <c r="E602" s="3" t="s">
        <v>9</v>
      </c>
      <c r="F602" s="3" t="str">
        <f>VLOOKUP(E602, Ref_GLAccount!$A$2:$D$9, 2, FALSE)</f>
        <v>Marketing &amp; Advertising</v>
      </c>
      <c r="G602" s="3" t="str">
        <f>VLOOKUP(E602, Ref_GLAccount!$A$2:$D$9, 3, FALSE)</f>
        <v>Marketing</v>
      </c>
      <c r="H602" s="6" t="s">
        <v>66</v>
      </c>
      <c r="I602" s="7">
        <v>1624.52</v>
      </c>
      <c r="J602" s="18" t="b">
        <f>IF(tblFactFinance[[#This Row],[MonthStart]] &lt;= Inputs!$B$1, TRUE, FALSE)</f>
        <v>1</v>
      </c>
    </row>
    <row r="603" spans="1:10" x14ac:dyDescent="0.3">
      <c r="A603" s="15">
        <v>45870</v>
      </c>
      <c r="B603" s="17" t="s">
        <v>61</v>
      </c>
      <c r="C603" s="3" t="s">
        <v>3</v>
      </c>
      <c r="D603" s="3" t="str">
        <f>VLOOKUP(C603, Ref_Department!$A$2:$D$6, 2, FALSE)</f>
        <v>Information Technology</v>
      </c>
      <c r="E603" s="3" t="s">
        <v>9</v>
      </c>
      <c r="F603" s="3" t="str">
        <f>VLOOKUP(E603, Ref_GLAccount!$A$2:$D$9, 2, FALSE)</f>
        <v>Marketing &amp; Advertising</v>
      </c>
      <c r="G603" s="3" t="str">
        <f>VLOOKUP(E603, Ref_GLAccount!$A$2:$D$9, 3, FALSE)</f>
        <v>Marketing</v>
      </c>
      <c r="H603" s="6" t="s">
        <v>70</v>
      </c>
      <c r="I603" s="7">
        <v>1560</v>
      </c>
      <c r="J603" s="18" t="b">
        <f>IF(tblFactFinance[[#This Row],[MonthStart]] &lt;= Inputs!$B$1, TRUE, FALSE)</f>
        <v>1</v>
      </c>
    </row>
    <row r="604" spans="1:10" x14ac:dyDescent="0.3">
      <c r="A604" s="15">
        <v>45870</v>
      </c>
      <c r="B604" s="17" t="s">
        <v>61</v>
      </c>
      <c r="C604" s="3" t="s">
        <v>3</v>
      </c>
      <c r="D604" s="3" t="str">
        <f>VLOOKUP(C604, Ref_Department!$A$2:$D$6, 2, FALSE)</f>
        <v>Information Technology</v>
      </c>
      <c r="E604" s="3" t="s">
        <v>10</v>
      </c>
      <c r="F604" s="3" t="str">
        <f>VLOOKUP(E604, Ref_GLAccount!$A$2:$D$9, 2, FALSE)</f>
        <v>Professional Services</v>
      </c>
      <c r="G604" s="3" t="str">
        <f>VLOOKUP(E604, Ref_GLAccount!$A$2:$D$9, 3, FALSE)</f>
        <v>Professional Services</v>
      </c>
      <c r="H604" s="6" t="s">
        <v>66</v>
      </c>
      <c r="I604" s="7">
        <v>24124.1</v>
      </c>
      <c r="J604" s="18" t="b">
        <f>IF(tblFactFinance[[#This Row],[MonthStart]] &lt;= Inputs!$B$1, TRUE, FALSE)</f>
        <v>1</v>
      </c>
    </row>
    <row r="605" spans="1:10" x14ac:dyDescent="0.3">
      <c r="A605" s="15">
        <v>45870</v>
      </c>
      <c r="B605" s="17" t="s">
        <v>61</v>
      </c>
      <c r="C605" s="3" t="s">
        <v>3</v>
      </c>
      <c r="D605" s="3" t="str">
        <f>VLOOKUP(C605, Ref_Department!$A$2:$D$6, 2, FALSE)</f>
        <v>Information Technology</v>
      </c>
      <c r="E605" s="3" t="s">
        <v>10</v>
      </c>
      <c r="F605" s="3" t="str">
        <f>VLOOKUP(E605, Ref_GLAccount!$A$2:$D$9, 2, FALSE)</f>
        <v>Professional Services</v>
      </c>
      <c r="G605" s="3" t="str">
        <f>VLOOKUP(E605, Ref_GLAccount!$A$2:$D$9, 3, FALSE)</f>
        <v>Professional Services</v>
      </c>
      <c r="H605" s="6" t="s">
        <v>70</v>
      </c>
      <c r="I605" s="7">
        <v>12480</v>
      </c>
      <c r="J605" s="18" t="b">
        <f>IF(tblFactFinance[[#This Row],[MonthStart]] &lt;= Inputs!$B$1, TRUE, FALSE)</f>
        <v>1</v>
      </c>
    </row>
    <row r="606" spans="1:10" x14ac:dyDescent="0.3">
      <c r="A606" s="15">
        <v>45870</v>
      </c>
      <c r="B606" s="17" t="s">
        <v>61</v>
      </c>
      <c r="C606" s="3" t="s">
        <v>3</v>
      </c>
      <c r="D606" s="3" t="str">
        <f>VLOOKUP(C606, Ref_Department!$A$2:$D$6, 2, FALSE)</f>
        <v>Information Technology</v>
      </c>
      <c r="E606" s="3" t="s">
        <v>11</v>
      </c>
      <c r="F606" s="3" t="str">
        <f>VLOOKUP(E606, Ref_GLAccount!$A$2:$D$9, 2, FALSE)</f>
        <v>Office Supplies</v>
      </c>
      <c r="G606" s="3" t="str">
        <f>VLOOKUP(E606, Ref_GLAccount!$A$2:$D$9, 3, FALSE)</f>
        <v>Other OPEX</v>
      </c>
      <c r="H606" s="6" t="s">
        <v>66</v>
      </c>
      <c r="I606" s="7">
        <v>854.29</v>
      </c>
      <c r="J606" s="18" t="b">
        <f>IF(tblFactFinance[[#This Row],[MonthStart]] &lt;= Inputs!$B$1, TRUE, FALSE)</f>
        <v>1</v>
      </c>
    </row>
    <row r="607" spans="1:10" x14ac:dyDescent="0.3">
      <c r="A607" s="15">
        <v>45870</v>
      </c>
      <c r="B607" s="17" t="s">
        <v>61</v>
      </c>
      <c r="C607" s="3" t="s">
        <v>3</v>
      </c>
      <c r="D607" s="3" t="str">
        <f>VLOOKUP(C607, Ref_Department!$A$2:$D$6, 2, FALSE)</f>
        <v>Information Technology</v>
      </c>
      <c r="E607" s="3" t="s">
        <v>11</v>
      </c>
      <c r="F607" s="3" t="str">
        <f>VLOOKUP(E607, Ref_GLAccount!$A$2:$D$9, 2, FALSE)</f>
        <v>Office Supplies</v>
      </c>
      <c r="G607" s="3" t="str">
        <f>VLOOKUP(E607, Ref_GLAccount!$A$2:$D$9, 3, FALSE)</f>
        <v>Other OPEX</v>
      </c>
      <c r="H607" s="6" t="s">
        <v>70</v>
      </c>
      <c r="I607" s="7">
        <v>832</v>
      </c>
      <c r="J607" s="18" t="b">
        <f>IF(tblFactFinance[[#This Row],[MonthStart]] &lt;= Inputs!$B$1, TRUE, FALSE)</f>
        <v>1</v>
      </c>
    </row>
    <row r="608" spans="1:10" x14ac:dyDescent="0.3">
      <c r="A608" s="15">
        <v>45870</v>
      </c>
      <c r="B608" s="17" t="s">
        <v>61</v>
      </c>
      <c r="C608" s="3" t="s">
        <v>3</v>
      </c>
      <c r="D608" s="3" t="str">
        <f>VLOOKUP(C608, Ref_Department!$A$2:$D$6, 2, FALSE)</f>
        <v>Information Technology</v>
      </c>
      <c r="E608" s="3" t="s">
        <v>12</v>
      </c>
      <c r="F608" s="3" t="str">
        <f>VLOOKUP(E608, Ref_GLAccount!$A$2:$D$9, 2, FALSE)</f>
        <v>Training &amp; Development</v>
      </c>
      <c r="G608" s="3" t="str">
        <f>VLOOKUP(E608, Ref_GLAccount!$A$2:$D$9, 3, FALSE)</f>
        <v>Other OPEX</v>
      </c>
      <c r="H608" s="6" t="s">
        <v>66</v>
      </c>
      <c r="I608" s="7">
        <v>1786.68</v>
      </c>
      <c r="J608" s="18" t="b">
        <f>IF(tblFactFinance[[#This Row],[MonthStart]] &lt;= Inputs!$B$1, TRUE, FALSE)</f>
        <v>1</v>
      </c>
    </row>
    <row r="609" spans="1:10" x14ac:dyDescent="0.3">
      <c r="A609" s="15">
        <v>45870</v>
      </c>
      <c r="B609" s="17" t="s">
        <v>61</v>
      </c>
      <c r="C609" s="3" t="s">
        <v>3</v>
      </c>
      <c r="D609" s="3" t="str">
        <f>VLOOKUP(C609, Ref_Department!$A$2:$D$6, 2, FALSE)</f>
        <v>Information Technology</v>
      </c>
      <c r="E609" s="3" t="s">
        <v>12</v>
      </c>
      <c r="F609" s="3" t="str">
        <f>VLOOKUP(E609, Ref_GLAccount!$A$2:$D$9, 2, FALSE)</f>
        <v>Training &amp; Development</v>
      </c>
      <c r="G609" s="3" t="str">
        <f>VLOOKUP(E609, Ref_GLAccount!$A$2:$D$9, 3, FALSE)</f>
        <v>Other OPEX</v>
      </c>
      <c r="H609" s="6" t="s">
        <v>70</v>
      </c>
      <c r="I609" s="7">
        <v>1872</v>
      </c>
      <c r="J609" s="18" t="b">
        <f>IF(tblFactFinance[[#This Row],[MonthStart]] &lt;= Inputs!$B$1, TRUE, FALSE)</f>
        <v>1</v>
      </c>
    </row>
    <row r="610" spans="1:10" x14ac:dyDescent="0.3">
      <c r="A610" s="15">
        <v>45870</v>
      </c>
      <c r="B610" s="17" t="s">
        <v>61</v>
      </c>
      <c r="C610" s="3" t="s">
        <v>4</v>
      </c>
      <c r="D610" s="3" t="str">
        <f>VLOOKUP(C610, Ref_Department!$A$2:$D$6, 2, FALSE)</f>
        <v>Marketing</v>
      </c>
      <c r="E610" s="3" t="s">
        <v>33</v>
      </c>
      <c r="F610" s="3" t="str">
        <f>VLOOKUP(E610, Ref_GLAccount!$A$2:$D$9, 2, FALSE)</f>
        <v>Salaries</v>
      </c>
      <c r="G610" s="3" t="str">
        <f>VLOOKUP(E610, Ref_GLAccount!$A$2:$D$9, 3, FALSE)</f>
        <v>Personnel</v>
      </c>
      <c r="H610" s="6" t="s">
        <v>66</v>
      </c>
      <c r="I610" s="7">
        <v>65178.3</v>
      </c>
      <c r="J610" s="18" t="b">
        <f>IF(tblFactFinance[[#This Row],[MonthStart]] &lt;= Inputs!$B$1, TRUE, FALSE)</f>
        <v>1</v>
      </c>
    </row>
    <row r="611" spans="1:10" x14ac:dyDescent="0.3">
      <c r="A611" s="15">
        <v>45870</v>
      </c>
      <c r="B611" s="17" t="s">
        <v>61</v>
      </c>
      <c r="C611" s="3" t="s">
        <v>4</v>
      </c>
      <c r="D611" s="3" t="str">
        <f>VLOOKUP(C611, Ref_Department!$A$2:$D$6, 2, FALSE)</f>
        <v>Marketing</v>
      </c>
      <c r="E611" s="3" t="s">
        <v>33</v>
      </c>
      <c r="F611" s="3" t="str">
        <f>VLOOKUP(E611, Ref_GLAccount!$A$2:$D$9, 2, FALSE)</f>
        <v>Salaries</v>
      </c>
      <c r="G611" s="3" t="str">
        <f>VLOOKUP(E611, Ref_GLAccount!$A$2:$D$9, 3, FALSE)</f>
        <v>Personnel</v>
      </c>
      <c r="H611" s="6" t="s">
        <v>70</v>
      </c>
      <c r="I611" s="7">
        <v>64375</v>
      </c>
      <c r="J611" s="18" t="b">
        <f>IF(tblFactFinance[[#This Row],[MonthStart]] &lt;= Inputs!$B$1, TRUE, FALSE)</f>
        <v>1</v>
      </c>
    </row>
    <row r="612" spans="1:10" x14ac:dyDescent="0.3">
      <c r="A612" s="15">
        <v>45870</v>
      </c>
      <c r="B612" s="17" t="s">
        <v>61</v>
      </c>
      <c r="C612" s="3" t="s">
        <v>4</v>
      </c>
      <c r="D612" s="3" t="str">
        <f>VLOOKUP(C612, Ref_Department!$A$2:$D$6, 2, FALSE)</f>
        <v>Marketing</v>
      </c>
      <c r="E612" s="3" t="s">
        <v>37</v>
      </c>
      <c r="F612" s="3" t="str">
        <f>VLOOKUP(E612, Ref_GLAccount!$A$2:$D$9, 2, FALSE)</f>
        <v>Benefits</v>
      </c>
      <c r="G612" s="3" t="str">
        <f>VLOOKUP(E612, Ref_GLAccount!$A$2:$D$9, 3, FALSE)</f>
        <v>Personnel</v>
      </c>
      <c r="H612" s="6" t="s">
        <v>66</v>
      </c>
      <c r="I612" s="7">
        <v>14399.71</v>
      </c>
      <c r="J612" s="18" t="b">
        <f>IF(tblFactFinance[[#This Row],[MonthStart]] &lt;= Inputs!$B$1, TRUE, FALSE)</f>
        <v>1</v>
      </c>
    </row>
    <row r="613" spans="1:10" x14ac:dyDescent="0.3">
      <c r="A613" s="15">
        <v>45870</v>
      </c>
      <c r="B613" s="17" t="s">
        <v>61</v>
      </c>
      <c r="C613" s="3" t="s">
        <v>4</v>
      </c>
      <c r="D613" s="3" t="str">
        <f>VLOOKUP(C613, Ref_Department!$A$2:$D$6, 2, FALSE)</f>
        <v>Marketing</v>
      </c>
      <c r="E613" s="3" t="s">
        <v>37</v>
      </c>
      <c r="F613" s="3" t="str">
        <f>VLOOKUP(E613, Ref_GLAccount!$A$2:$D$9, 2, FALSE)</f>
        <v>Benefits</v>
      </c>
      <c r="G613" s="3" t="str">
        <f>VLOOKUP(E613, Ref_GLAccount!$A$2:$D$9, 3, FALSE)</f>
        <v>Personnel</v>
      </c>
      <c r="H613" s="6" t="s">
        <v>70</v>
      </c>
      <c r="I613" s="7">
        <v>14162.5</v>
      </c>
      <c r="J613" s="18" t="b">
        <f>IF(tblFactFinance[[#This Row],[MonthStart]] &lt;= Inputs!$B$1, TRUE, FALSE)</f>
        <v>1</v>
      </c>
    </row>
    <row r="614" spans="1:10" x14ac:dyDescent="0.3">
      <c r="A614" s="15">
        <v>45870</v>
      </c>
      <c r="B614" s="17" t="s">
        <v>61</v>
      </c>
      <c r="C614" s="3" t="s">
        <v>4</v>
      </c>
      <c r="D614" s="3" t="str">
        <f>VLOOKUP(C614, Ref_Department!$A$2:$D$6, 2, FALSE)</f>
        <v>Marketing</v>
      </c>
      <c r="E614" s="3" t="s">
        <v>7</v>
      </c>
      <c r="F614" s="3" t="str">
        <f>VLOOKUP(E614, Ref_GLAccount!$A$2:$D$9, 2, FALSE)</f>
        <v>Occupancy &amp; Facilities</v>
      </c>
      <c r="G614" s="3" t="str">
        <f>VLOOKUP(E614, Ref_GLAccount!$A$2:$D$9, 3, FALSE)</f>
        <v>Facilities</v>
      </c>
      <c r="H614" s="6" t="s">
        <v>66</v>
      </c>
      <c r="I614" s="7">
        <v>5816.06</v>
      </c>
      <c r="J614" s="18" t="b">
        <f>IF(tblFactFinance[[#This Row],[MonthStart]] &lt;= Inputs!$B$1, TRUE, FALSE)</f>
        <v>1</v>
      </c>
    </row>
    <row r="615" spans="1:10" x14ac:dyDescent="0.3">
      <c r="A615" s="15">
        <v>45870</v>
      </c>
      <c r="B615" s="17" t="s">
        <v>61</v>
      </c>
      <c r="C615" s="3" t="s">
        <v>4</v>
      </c>
      <c r="D615" s="3" t="str">
        <f>VLOOKUP(C615, Ref_Department!$A$2:$D$6, 2, FALSE)</f>
        <v>Marketing</v>
      </c>
      <c r="E615" s="3" t="s">
        <v>7</v>
      </c>
      <c r="F615" s="3" t="str">
        <f>VLOOKUP(E615, Ref_GLAccount!$A$2:$D$9, 2, FALSE)</f>
        <v>Occupancy &amp; Facilities</v>
      </c>
      <c r="G615" s="3" t="str">
        <f>VLOOKUP(E615, Ref_GLAccount!$A$2:$D$9, 3, FALSE)</f>
        <v>Facilities</v>
      </c>
      <c r="H615" s="6" t="s">
        <v>70</v>
      </c>
      <c r="I615" s="7">
        <v>6000</v>
      </c>
      <c r="J615" s="18" t="b">
        <f>IF(tblFactFinance[[#This Row],[MonthStart]] &lt;= Inputs!$B$1, TRUE, FALSE)</f>
        <v>1</v>
      </c>
    </row>
    <row r="616" spans="1:10" x14ac:dyDescent="0.3">
      <c r="A616" s="15">
        <v>45870</v>
      </c>
      <c r="B616" s="17" t="s">
        <v>61</v>
      </c>
      <c r="C616" s="3" t="s">
        <v>4</v>
      </c>
      <c r="D616" s="3" t="str">
        <f>VLOOKUP(C616, Ref_Department!$A$2:$D$6, 2, FALSE)</f>
        <v>Marketing</v>
      </c>
      <c r="E616" s="3" t="s">
        <v>8</v>
      </c>
      <c r="F616" s="3" t="str">
        <f>VLOOKUP(E616, Ref_GLAccount!$A$2:$D$9, 2, FALSE)</f>
        <v>IT Software &amp; Subscriptions</v>
      </c>
      <c r="G616" s="3" t="str">
        <f>VLOOKUP(E616, Ref_GLAccount!$A$2:$D$9, 3, FALSE)</f>
        <v>IT</v>
      </c>
      <c r="H616" s="6" t="s">
        <v>66</v>
      </c>
      <c r="I616" s="7">
        <v>7862.22</v>
      </c>
      <c r="J616" s="18" t="b">
        <f>IF(tblFactFinance[[#This Row],[MonthStart]] &lt;= Inputs!$B$1, TRUE, FALSE)</f>
        <v>1</v>
      </c>
    </row>
    <row r="617" spans="1:10" x14ac:dyDescent="0.3">
      <c r="A617" s="15">
        <v>45870</v>
      </c>
      <c r="B617" s="17" t="s">
        <v>61</v>
      </c>
      <c r="C617" s="3" t="s">
        <v>4</v>
      </c>
      <c r="D617" s="3" t="str">
        <f>VLOOKUP(C617, Ref_Department!$A$2:$D$6, 2, FALSE)</f>
        <v>Marketing</v>
      </c>
      <c r="E617" s="3" t="s">
        <v>8</v>
      </c>
      <c r="F617" s="3" t="str">
        <f>VLOOKUP(E617, Ref_GLAccount!$A$2:$D$9, 2, FALSE)</f>
        <v>IT Software &amp; Subscriptions</v>
      </c>
      <c r="G617" s="3" t="str">
        <f>VLOOKUP(E617, Ref_GLAccount!$A$2:$D$9, 3, FALSE)</f>
        <v>IT</v>
      </c>
      <c r="H617" s="6" t="s">
        <v>70</v>
      </c>
      <c r="I617" s="7">
        <v>7280</v>
      </c>
      <c r="J617" s="18" t="b">
        <f>IF(tblFactFinance[[#This Row],[MonthStart]] &lt;= Inputs!$B$1, TRUE, FALSE)</f>
        <v>1</v>
      </c>
    </row>
    <row r="618" spans="1:10" x14ac:dyDescent="0.3">
      <c r="A618" s="15">
        <v>45870</v>
      </c>
      <c r="B618" s="17" t="s">
        <v>61</v>
      </c>
      <c r="C618" s="3" t="s">
        <v>4</v>
      </c>
      <c r="D618" s="3" t="str">
        <f>VLOOKUP(C618, Ref_Department!$A$2:$D$6, 2, FALSE)</f>
        <v>Marketing</v>
      </c>
      <c r="E618" s="3" t="s">
        <v>9</v>
      </c>
      <c r="F618" s="3" t="str">
        <f>VLOOKUP(E618, Ref_GLAccount!$A$2:$D$9, 2, FALSE)</f>
        <v>Marketing &amp; Advertising</v>
      </c>
      <c r="G618" s="3" t="str">
        <f>VLOOKUP(E618, Ref_GLAccount!$A$2:$D$9, 3, FALSE)</f>
        <v>Marketing</v>
      </c>
      <c r="H618" s="6" t="s">
        <v>66</v>
      </c>
      <c r="I618" s="7">
        <v>29780.880000000001</v>
      </c>
      <c r="J618" s="18" t="b">
        <f>IF(tblFactFinance[[#This Row],[MonthStart]] &lt;= Inputs!$B$1, TRUE, FALSE)</f>
        <v>1</v>
      </c>
    </row>
    <row r="619" spans="1:10" x14ac:dyDescent="0.3">
      <c r="A619" s="15">
        <v>45870</v>
      </c>
      <c r="B619" s="17" t="s">
        <v>61</v>
      </c>
      <c r="C619" s="3" t="s">
        <v>4</v>
      </c>
      <c r="D619" s="3" t="str">
        <f>VLOOKUP(C619, Ref_Department!$A$2:$D$6, 2, FALSE)</f>
        <v>Marketing</v>
      </c>
      <c r="E619" s="3" t="s">
        <v>9</v>
      </c>
      <c r="F619" s="3" t="str">
        <f>VLOOKUP(E619, Ref_GLAccount!$A$2:$D$9, 2, FALSE)</f>
        <v>Marketing &amp; Advertising</v>
      </c>
      <c r="G619" s="3" t="str">
        <f>VLOOKUP(E619, Ref_GLAccount!$A$2:$D$9, 3, FALSE)</f>
        <v>Marketing</v>
      </c>
      <c r="H619" s="6" t="s">
        <v>70</v>
      </c>
      <c r="I619" s="7">
        <v>29120</v>
      </c>
      <c r="J619" s="18" t="b">
        <f>IF(tblFactFinance[[#This Row],[MonthStart]] &lt;= Inputs!$B$1, TRUE, FALSE)</f>
        <v>1</v>
      </c>
    </row>
    <row r="620" spans="1:10" x14ac:dyDescent="0.3">
      <c r="A620" s="15">
        <v>45870</v>
      </c>
      <c r="B620" s="17" t="s">
        <v>61</v>
      </c>
      <c r="C620" s="3" t="s">
        <v>4</v>
      </c>
      <c r="D620" s="3" t="str">
        <f>VLOOKUP(C620, Ref_Department!$A$2:$D$6, 2, FALSE)</f>
        <v>Marketing</v>
      </c>
      <c r="E620" s="3" t="s">
        <v>10</v>
      </c>
      <c r="F620" s="3" t="str">
        <f>VLOOKUP(E620, Ref_GLAccount!$A$2:$D$9, 2, FALSE)</f>
        <v>Professional Services</v>
      </c>
      <c r="G620" s="3" t="str">
        <f>VLOOKUP(E620, Ref_GLAccount!$A$2:$D$9, 3, FALSE)</f>
        <v>Professional Services</v>
      </c>
      <c r="H620" s="6" t="s">
        <v>66</v>
      </c>
      <c r="I620" s="7">
        <v>5765.08</v>
      </c>
      <c r="J620" s="18" t="b">
        <f>IF(tblFactFinance[[#This Row],[MonthStart]] &lt;= Inputs!$B$1, TRUE, FALSE)</f>
        <v>1</v>
      </c>
    </row>
    <row r="621" spans="1:10" x14ac:dyDescent="0.3">
      <c r="A621" s="15">
        <v>45870</v>
      </c>
      <c r="B621" s="17" t="s">
        <v>61</v>
      </c>
      <c r="C621" s="3" t="s">
        <v>4</v>
      </c>
      <c r="D621" s="3" t="str">
        <f>VLOOKUP(C621, Ref_Department!$A$2:$D$6, 2, FALSE)</f>
        <v>Marketing</v>
      </c>
      <c r="E621" s="3" t="s">
        <v>10</v>
      </c>
      <c r="F621" s="3" t="str">
        <f>VLOOKUP(E621, Ref_GLAccount!$A$2:$D$9, 2, FALSE)</f>
        <v>Professional Services</v>
      </c>
      <c r="G621" s="3" t="str">
        <f>VLOOKUP(E621, Ref_GLAccount!$A$2:$D$9, 3, FALSE)</f>
        <v>Professional Services</v>
      </c>
      <c r="H621" s="6" t="s">
        <v>70</v>
      </c>
      <c r="I621" s="7">
        <v>6240</v>
      </c>
      <c r="J621" s="18" t="b">
        <f>IF(tblFactFinance[[#This Row],[MonthStart]] &lt;= Inputs!$B$1, TRUE, FALSE)</f>
        <v>1</v>
      </c>
    </row>
    <row r="622" spans="1:10" x14ac:dyDescent="0.3">
      <c r="A622" s="15">
        <v>45870</v>
      </c>
      <c r="B622" s="17" t="s">
        <v>61</v>
      </c>
      <c r="C622" s="3" t="s">
        <v>4</v>
      </c>
      <c r="D622" s="3" t="str">
        <f>VLOOKUP(C622, Ref_Department!$A$2:$D$6, 2, FALSE)</f>
        <v>Marketing</v>
      </c>
      <c r="E622" s="3" t="s">
        <v>11</v>
      </c>
      <c r="F622" s="3" t="str">
        <f>VLOOKUP(E622, Ref_GLAccount!$A$2:$D$9, 2, FALSE)</f>
        <v>Office Supplies</v>
      </c>
      <c r="G622" s="3" t="str">
        <f>VLOOKUP(E622, Ref_GLAccount!$A$2:$D$9, 3, FALSE)</f>
        <v>Other OPEX</v>
      </c>
      <c r="H622" s="6" t="s">
        <v>66</v>
      </c>
      <c r="I622" s="7">
        <v>744.1</v>
      </c>
      <c r="J622" s="18" t="b">
        <f>IF(tblFactFinance[[#This Row],[MonthStart]] &lt;= Inputs!$B$1, TRUE, FALSE)</f>
        <v>1</v>
      </c>
    </row>
    <row r="623" spans="1:10" x14ac:dyDescent="0.3">
      <c r="A623" s="15">
        <v>45870</v>
      </c>
      <c r="B623" s="17" t="s">
        <v>61</v>
      </c>
      <c r="C623" s="3" t="s">
        <v>4</v>
      </c>
      <c r="D623" s="3" t="str">
        <f>VLOOKUP(C623, Ref_Department!$A$2:$D$6, 2, FALSE)</f>
        <v>Marketing</v>
      </c>
      <c r="E623" s="3" t="s">
        <v>11</v>
      </c>
      <c r="F623" s="3" t="str">
        <f>VLOOKUP(E623, Ref_GLAccount!$A$2:$D$9, 2, FALSE)</f>
        <v>Office Supplies</v>
      </c>
      <c r="G623" s="3" t="str">
        <f>VLOOKUP(E623, Ref_GLAccount!$A$2:$D$9, 3, FALSE)</f>
        <v>Other OPEX</v>
      </c>
      <c r="H623" s="6" t="s">
        <v>70</v>
      </c>
      <c r="I623" s="7">
        <v>728</v>
      </c>
      <c r="J623" s="18" t="b">
        <f>IF(tblFactFinance[[#This Row],[MonthStart]] &lt;= Inputs!$B$1, TRUE, FALSE)</f>
        <v>1</v>
      </c>
    </row>
    <row r="624" spans="1:10" x14ac:dyDescent="0.3">
      <c r="A624" s="15">
        <v>45870</v>
      </c>
      <c r="B624" s="17" t="s">
        <v>61</v>
      </c>
      <c r="C624" s="3" t="s">
        <v>4</v>
      </c>
      <c r="D624" s="3" t="str">
        <f>VLOOKUP(C624, Ref_Department!$A$2:$D$6, 2, FALSE)</f>
        <v>Marketing</v>
      </c>
      <c r="E624" s="3" t="s">
        <v>12</v>
      </c>
      <c r="F624" s="3" t="str">
        <f>VLOOKUP(E624, Ref_GLAccount!$A$2:$D$9, 2, FALSE)</f>
        <v>Training &amp; Development</v>
      </c>
      <c r="G624" s="3" t="str">
        <f>VLOOKUP(E624, Ref_GLAccount!$A$2:$D$9, 3, FALSE)</f>
        <v>Other OPEX</v>
      </c>
      <c r="H624" s="6" t="s">
        <v>66</v>
      </c>
      <c r="I624" s="7">
        <v>1125.3599999999999</v>
      </c>
      <c r="J624" s="18" t="b">
        <f>IF(tblFactFinance[[#This Row],[MonthStart]] &lt;= Inputs!$B$1, TRUE, FALSE)</f>
        <v>1</v>
      </c>
    </row>
    <row r="625" spans="1:10" x14ac:dyDescent="0.3">
      <c r="A625" s="15">
        <v>45870</v>
      </c>
      <c r="B625" s="17" t="s">
        <v>61</v>
      </c>
      <c r="C625" s="3" t="s">
        <v>4</v>
      </c>
      <c r="D625" s="3" t="str">
        <f>VLOOKUP(C625, Ref_Department!$A$2:$D$6, 2, FALSE)</f>
        <v>Marketing</v>
      </c>
      <c r="E625" s="3" t="s">
        <v>12</v>
      </c>
      <c r="F625" s="3" t="str">
        <f>VLOOKUP(E625, Ref_GLAccount!$A$2:$D$9, 2, FALSE)</f>
        <v>Training &amp; Development</v>
      </c>
      <c r="G625" s="3" t="str">
        <f>VLOOKUP(E625, Ref_GLAccount!$A$2:$D$9, 3, FALSE)</f>
        <v>Other OPEX</v>
      </c>
      <c r="H625" s="6" t="s">
        <v>70</v>
      </c>
      <c r="I625" s="7">
        <v>1144</v>
      </c>
      <c r="J625" s="18" t="b">
        <f>IF(tblFactFinance[[#This Row],[MonthStart]] &lt;= Inputs!$B$1, TRUE, FALSE)</f>
        <v>1</v>
      </c>
    </row>
    <row r="626" spans="1:10" x14ac:dyDescent="0.3">
      <c r="A626" s="15">
        <v>45870</v>
      </c>
      <c r="B626" s="17" t="s">
        <v>61</v>
      </c>
      <c r="C626" s="3" t="s">
        <v>5</v>
      </c>
      <c r="D626" s="3" t="str">
        <f>VLOOKUP(C626, Ref_Department!$A$2:$D$6, 2, FALSE)</f>
        <v>Human Resources</v>
      </c>
      <c r="E626" s="3" t="s">
        <v>33</v>
      </c>
      <c r="F626" s="3" t="str">
        <f>VLOOKUP(E626, Ref_GLAccount!$A$2:$D$9, 2, FALSE)</f>
        <v>Salaries</v>
      </c>
      <c r="G626" s="3" t="str">
        <f>VLOOKUP(E626, Ref_GLAccount!$A$2:$D$9, 3, FALSE)</f>
        <v>Personnel</v>
      </c>
      <c r="H626" s="6" t="s">
        <v>66</v>
      </c>
      <c r="I626" s="7">
        <v>53562.95</v>
      </c>
      <c r="J626" s="18" t="b">
        <f>IF(tblFactFinance[[#This Row],[MonthStart]] &lt;= Inputs!$B$1, TRUE, FALSE)</f>
        <v>1</v>
      </c>
    </row>
    <row r="627" spans="1:10" x14ac:dyDescent="0.3">
      <c r="A627" s="15">
        <v>45870</v>
      </c>
      <c r="B627" s="17" t="s">
        <v>61</v>
      </c>
      <c r="C627" s="3" t="s">
        <v>5</v>
      </c>
      <c r="D627" s="3" t="str">
        <f>VLOOKUP(C627, Ref_Department!$A$2:$D$6, 2, FALSE)</f>
        <v>Human Resources</v>
      </c>
      <c r="E627" s="3" t="s">
        <v>33</v>
      </c>
      <c r="F627" s="3" t="str">
        <f>VLOOKUP(E627, Ref_GLAccount!$A$2:$D$9, 2, FALSE)</f>
        <v>Salaries</v>
      </c>
      <c r="G627" s="3" t="str">
        <f>VLOOKUP(E627, Ref_GLAccount!$A$2:$D$9, 3, FALSE)</f>
        <v>Personnel</v>
      </c>
      <c r="H627" s="6" t="s">
        <v>70</v>
      </c>
      <c r="I627" s="7">
        <v>53560</v>
      </c>
      <c r="J627" s="18" t="b">
        <f>IF(tblFactFinance[[#This Row],[MonthStart]] &lt;= Inputs!$B$1, TRUE, FALSE)</f>
        <v>1</v>
      </c>
    </row>
    <row r="628" spans="1:10" x14ac:dyDescent="0.3">
      <c r="A628" s="15">
        <v>45870</v>
      </c>
      <c r="B628" s="17" t="s">
        <v>61</v>
      </c>
      <c r="C628" s="3" t="s">
        <v>5</v>
      </c>
      <c r="D628" s="3" t="str">
        <f>VLOOKUP(C628, Ref_Department!$A$2:$D$6, 2, FALSE)</f>
        <v>Human Resources</v>
      </c>
      <c r="E628" s="3" t="s">
        <v>37</v>
      </c>
      <c r="F628" s="3" t="str">
        <f>VLOOKUP(E628, Ref_GLAccount!$A$2:$D$9, 2, FALSE)</f>
        <v>Benefits</v>
      </c>
      <c r="G628" s="3" t="str">
        <f>VLOOKUP(E628, Ref_GLAccount!$A$2:$D$9, 3, FALSE)</f>
        <v>Personnel</v>
      </c>
      <c r="H628" s="6" t="s">
        <v>66</v>
      </c>
      <c r="I628" s="7">
        <v>12002.73</v>
      </c>
      <c r="J628" s="18" t="b">
        <f>IF(tblFactFinance[[#This Row],[MonthStart]] &lt;= Inputs!$B$1, TRUE, FALSE)</f>
        <v>1</v>
      </c>
    </row>
    <row r="629" spans="1:10" x14ac:dyDescent="0.3">
      <c r="A629" s="15">
        <v>45870</v>
      </c>
      <c r="B629" s="17" t="s">
        <v>61</v>
      </c>
      <c r="C629" s="3" t="s">
        <v>5</v>
      </c>
      <c r="D629" s="3" t="str">
        <f>VLOOKUP(C629, Ref_Department!$A$2:$D$6, 2, FALSE)</f>
        <v>Human Resources</v>
      </c>
      <c r="E629" s="3" t="s">
        <v>37</v>
      </c>
      <c r="F629" s="3" t="str">
        <f>VLOOKUP(E629, Ref_GLAccount!$A$2:$D$9, 2, FALSE)</f>
        <v>Benefits</v>
      </c>
      <c r="G629" s="3" t="str">
        <f>VLOOKUP(E629, Ref_GLAccount!$A$2:$D$9, 3, FALSE)</f>
        <v>Personnel</v>
      </c>
      <c r="H629" s="6" t="s">
        <v>70</v>
      </c>
      <c r="I629" s="7">
        <v>11783.2</v>
      </c>
      <c r="J629" s="18" t="b">
        <f>IF(tblFactFinance[[#This Row],[MonthStart]] &lt;= Inputs!$B$1, TRUE, FALSE)</f>
        <v>1</v>
      </c>
    </row>
    <row r="630" spans="1:10" x14ac:dyDescent="0.3">
      <c r="A630" s="15">
        <v>45870</v>
      </c>
      <c r="B630" s="17" t="s">
        <v>61</v>
      </c>
      <c r="C630" s="3" t="s">
        <v>5</v>
      </c>
      <c r="D630" s="3" t="str">
        <f>VLOOKUP(C630, Ref_Department!$A$2:$D$6, 2, FALSE)</f>
        <v>Human Resources</v>
      </c>
      <c r="E630" s="3" t="s">
        <v>7</v>
      </c>
      <c r="F630" s="3" t="str">
        <f>VLOOKUP(E630, Ref_GLAccount!$A$2:$D$9, 2, FALSE)</f>
        <v>Occupancy &amp; Facilities</v>
      </c>
      <c r="G630" s="3" t="str">
        <f>VLOOKUP(E630, Ref_GLAccount!$A$2:$D$9, 3, FALSE)</f>
        <v>Facilities</v>
      </c>
      <c r="H630" s="6" t="s">
        <v>66</v>
      </c>
      <c r="I630" s="7">
        <v>4062.49</v>
      </c>
      <c r="J630" s="18" t="b">
        <f>IF(tblFactFinance[[#This Row],[MonthStart]] &lt;= Inputs!$B$1, TRUE, FALSE)</f>
        <v>1</v>
      </c>
    </row>
    <row r="631" spans="1:10" x14ac:dyDescent="0.3">
      <c r="A631" s="15">
        <v>45870</v>
      </c>
      <c r="B631" s="17" t="s">
        <v>61</v>
      </c>
      <c r="C631" s="3" t="s">
        <v>5</v>
      </c>
      <c r="D631" s="3" t="str">
        <f>VLOOKUP(C631, Ref_Department!$A$2:$D$6, 2, FALSE)</f>
        <v>Human Resources</v>
      </c>
      <c r="E631" s="3" t="s">
        <v>7</v>
      </c>
      <c r="F631" s="3" t="str">
        <f>VLOOKUP(E631, Ref_GLAccount!$A$2:$D$9, 2, FALSE)</f>
        <v>Occupancy &amp; Facilities</v>
      </c>
      <c r="G631" s="3" t="str">
        <f>VLOOKUP(E631, Ref_GLAccount!$A$2:$D$9, 3, FALSE)</f>
        <v>Facilities</v>
      </c>
      <c r="H631" s="6" t="s">
        <v>70</v>
      </c>
      <c r="I631" s="7">
        <v>4000</v>
      </c>
      <c r="J631" s="18" t="b">
        <f>IF(tblFactFinance[[#This Row],[MonthStart]] &lt;= Inputs!$B$1, TRUE, FALSE)</f>
        <v>1</v>
      </c>
    </row>
    <row r="632" spans="1:10" x14ac:dyDescent="0.3">
      <c r="A632" s="15">
        <v>45870</v>
      </c>
      <c r="B632" s="17" t="s">
        <v>61</v>
      </c>
      <c r="C632" s="3" t="s">
        <v>5</v>
      </c>
      <c r="D632" s="3" t="str">
        <f>VLOOKUP(C632, Ref_Department!$A$2:$D$6, 2, FALSE)</f>
        <v>Human Resources</v>
      </c>
      <c r="E632" s="3" t="s">
        <v>8</v>
      </c>
      <c r="F632" s="3" t="str">
        <f>VLOOKUP(E632, Ref_GLAccount!$A$2:$D$9, 2, FALSE)</f>
        <v>IT Software &amp; Subscriptions</v>
      </c>
      <c r="G632" s="3" t="str">
        <f>VLOOKUP(E632, Ref_GLAccount!$A$2:$D$9, 3, FALSE)</f>
        <v>IT</v>
      </c>
      <c r="H632" s="6" t="s">
        <v>66</v>
      </c>
      <c r="I632" s="7">
        <v>4775.8599999999997</v>
      </c>
      <c r="J632" s="18" t="b">
        <f>IF(tblFactFinance[[#This Row],[MonthStart]] &lt;= Inputs!$B$1, TRUE, FALSE)</f>
        <v>1</v>
      </c>
    </row>
    <row r="633" spans="1:10" x14ac:dyDescent="0.3">
      <c r="A633" s="15">
        <v>45870</v>
      </c>
      <c r="B633" s="17" t="s">
        <v>61</v>
      </c>
      <c r="C633" s="3" t="s">
        <v>5</v>
      </c>
      <c r="D633" s="3" t="str">
        <f>VLOOKUP(C633, Ref_Department!$A$2:$D$6, 2, FALSE)</f>
        <v>Human Resources</v>
      </c>
      <c r="E633" s="3" t="s">
        <v>8</v>
      </c>
      <c r="F633" s="3" t="str">
        <f>VLOOKUP(E633, Ref_GLAccount!$A$2:$D$9, 2, FALSE)</f>
        <v>IT Software &amp; Subscriptions</v>
      </c>
      <c r="G633" s="3" t="str">
        <f>VLOOKUP(E633, Ref_GLAccount!$A$2:$D$9, 3, FALSE)</f>
        <v>IT</v>
      </c>
      <c r="H633" s="6" t="s">
        <v>70</v>
      </c>
      <c r="I633" s="7">
        <v>5200</v>
      </c>
      <c r="J633" s="18" t="b">
        <f>IF(tblFactFinance[[#This Row],[MonthStart]] &lt;= Inputs!$B$1, TRUE, FALSE)</f>
        <v>1</v>
      </c>
    </row>
    <row r="634" spans="1:10" x14ac:dyDescent="0.3">
      <c r="A634" s="15">
        <v>45870</v>
      </c>
      <c r="B634" s="17" t="s">
        <v>61</v>
      </c>
      <c r="C634" s="3" t="s">
        <v>5</v>
      </c>
      <c r="D634" s="3" t="str">
        <f>VLOOKUP(C634, Ref_Department!$A$2:$D$6, 2, FALSE)</f>
        <v>Human Resources</v>
      </c>
      <c r="E634" s="3" t="s">
        <v>9</v>
      </c>
      <c r="F634" s="3" t="str">
        <f>VLOOKUP(E634, Ref_GLAccount!$A$2:$D$9, 2, FALSE)</f>
        <v>Marketing &amp; Advertising</v>
      </c>
      <c r="G634" s="3" t="str">
        <f>VLOOKUP(E634, Ref_GLAccount!$A$2:$D$9, 3, FALSE)</f>
        <v>Marketing</v>
      </c>
      <c r="H634" s="6" t="s">
        <v>66</v>
      </c>
      <c r="I634" s="7">
        <v>1190.18</v>
      </c>
      <c r="J634" s="18" t="b">
        <f>IF(tblFactFinance[[#This Row],[MonthStart]] &lt;= Inputs!$B$1, TRUE, FALSE)</f>
        <v>1</v>
      </c>
    </row>
    <row r="635" spans="1:10" x14ac:dyDescent="0.3">
      <c r="A635" s="15">
        <v>45870</v>
      </c>
      <c r="B635" s="17" t="s">
        <v>61</v>
      </c>
      <c r="C635" s="3" t="s">
        <v>5</v>
      </c>
      <c r="D635" s="3" t="str">
        <f>VLOOKUP(C635, Ref_Department!$A$2:$D$6, 2, FALSE)</f>
        <v>Human Resources</v>
      </c>
      <c r="E635" s="3" t="s">
        <v>9</v>
      </c>
      <c r="F635" s="3" t="str">
        <f>VLOOKUP(E635, Ref_GLAccount!$A$2:$D$9, 2, FALSE)</f>
        <v>Marketing &amp; Advertising</v>
      </c>
      <c r="G635" s="3" t="str">
        <f>VLOOKUP(E635, Ref_GLAccount!$A$2:$D$9, 3, FALSE)</f>
        <v>Marketing</v>
      </c>
      <c r="H635" s="6" t="s">
        <v>70</v>
      </c>
      <c r="I635" s="7">
        <v>1248</v>
      </c>
      <c r="J635" s="18" t="b">
        <f>IF(tblFactFinance[[#This Row],[MonthStart]] &lt;= Inputs!$B$1, TRUE, FALSE)</f>
        <v>1</v>
      </c>
    </row>
    <row r="636" spans="1:10" x14ac:dyDescent="0.3">
      <c r="A636" s="15">
        <v>45870</v>
      </c>
      <c r="B636" s="17" t="s">
        <v>61</v>
      </c>
      <c r="C636" s="3" t="s">
        <v>5</v>
      </c>
      <c r="D636" s="3" t="str">
        <f>VLOOKUP(C636, Ref_Department!$A$2:$D$6, 2, FALSE)</f>
        <v>Human Resources</v>
      </c>
      <c r="E636" s="3" t="s">
        <v>10</v>
      </c>
      <c r="F636" s="3" t="str">
        <f>VLOOKUP(E636, Ref_GLAccount!$A$2:$D$9, 2, FALSE)</f>
        <v>Professional Services</v>
      </c>
      <c r="G636" s="3" t="str">
        <f>VLOOKUP(E636, Ref_GLAccount!$A$2:$D$9, 3, FALSE)</f>
        <v>Professional Services</v>
      </c>
      <c r="H636" s="6" t="s">
        <v>66</v>
      </c>
      <c r="I636" s="7">
        <v>3752.49</v>
      </c>
      <c r="J636" s="18" t="b">
        <f>IF(tblFactFinance[[#This Row],[MonthStart]] &lt;= Inputs!$B$1, TRUE, FALSE)</f>
        <v>1</v>
      </c>
    </row>
    <row r="637" spans="1:10" x14ac:dyDescent="0.3">
      <c r="A637" s="15">
        <v>45870</v>
      </c>
      <c r="B637" s="17" t="s">
        <v>61</v>
      </c>
      <c r="C637" s="3" t="s">
        <v>5</v>
      </c>
      <c r="D637" s="3" t="str">
        <f>VLOOKUP(C637, Ref_Department!$A$2:$D$6, 2, FALSE)</f>
        <v>Human Resources</v>
      </c>
      <c r="E637" s="3" t="s">
        <v>10</v>
      </c>
      <c r="F637" s="3" t="str">
        <f>VLOOKUP(E637, Ref_GLAccount!$A$2:$D$9, 2, FALSE)</f>
        <v>Professional Services</v>
      </c>
      <c r="G637" s="3" t="str">
        <f>VLOOKUP(E637, Ref_GLAccount!$A$2:$D$9, 3, FALSE)</f>
        <v>Professional Services</v>
      </c>
      <c r="H637" s="6" t="s">
        <v>70</v>
      </c>
      <c r="I637" s="7">
        <v>3640</v>
      </c>
      <c r="J637" s="18" t="b">
        <f>IF(tblFactFinance[[#This Row],[MonthStart]] &lt;= Inputs!$B$1, TRUE, FALSE)</f>
        <v>1</v>
      </c>
    </row>
    <row r="638" spans="1:10" x14ac:dyDescent="0.3">
      <c r="A638" s="15">
        <v>45870</v>
      </c>
      <c r="B638" s="17" t="s">
        <v>61</v>
      </c>
      <c r="C638" s="3" t="s">
        <v>5</v>
      </c>
      <c r="D638" s="3" t="str">
        <f>VLOOKUP(C638, Ref_Department!$A$2:$D$6, 2, FALSE)</f>
        <v>Human Resources</v>
      </c>
      <c r="E638" s="3" t="s">
        <v>11</v>
      </c>
      <c r="F638" s="3" t="str">
        <f>VLOOKUP(E638, Ref_GLAccount!$A$2:$D$9, 2, FALSE)</f>
        <v>Office Supplies</v>
      </c>
      <c r="G638" s="3" t="str">
        <f>VLOOKUP(E638, Ref_GLAccount!$A$2:$D$9, 3, FALSE)</f>
        <v>Other OPEX</v>
      </c>
      <c r="H638" s="6" t="s">
        <v>66</v>
      </c>
      <c r="I638" s="7">
        <v>656.48</v>
      </c>
      <c r="J638" s="18" t="b">
        <f>IF(tblFactFinance[[#This Row],[MonthStart]] &lt;= Inputs!$B$1, TRUE, FALSE)</f>
        <v>1</v>
      </c>
    </row>
    <row r="639" spans="1:10" x14ac:dyDescent="0.3">
      <c r="A639" s="15">
        <v>45870</v>
      </c>
      <c r="B639" s="17" t="s">
        <v>61</v>
      </c>
      <c r="C639" s="3" t="s">
        <v>5</v>
      </c>
      <c r="D639" s="3" t="str">
        <f>VLOOKUP(C639, Ref_Department!$A$2:$D$6, 2, FALSE)</f>
        <v>Human Resources</v>
      </c>
      <c r="E639" s="3" t="s">
        <v>11</v>
      </c>
      <c r="F639" s="3" t="str">
        <f>VLOOKUP(E639, Ref_GLAccount!$A$2:$D$9, 2, FALSE)</f>
        <v>Office Supplies</v>
      </c>
      <c r="G639" s="3" t="str">
        <f>VLOOKUP(E639, Ref_GLAccount!$A$2:$D$9, 3, FALSE)</f>
        <v>Other OPEX</v>
      </c>
      <c r="H639" s="6" t="s">
        <v>70</v>
      </c>
      <c r="I639" s="7">
        <v>624</v>
      </c>
      <c r="J639" s="18" t="b">
        <f>IF(tblFactFinance[[#This Row],[MonthStart]] &lt;= Inputs!$B$1, TRUE, FALSE)</f>
        <v>1</v>
      </c>
    </row>
    <row r="640" spans="1:10" x14ac:dyDescent="0.3">
      <c r="A640" s="15">
        <v>45870</v>
      </c>
      <c r="B640" s="17" t="s">
        <v>61</v>
      </c>
      <c r="C640" s="3" t="s">
        <v>5</v>
      </c>
      <c r="D640" s="3" t="str">
        <f>VLOOKUP(C640, Ref_Department!$A$2:$D$6, 2, FALSE)</f>
        <v>Human Resources</v>
      </c>
      <c r="E640" s="3" t="s">
        <v>12</v>
      </c>
      <c r="F640" s="3" t="str">
        <f>VLOOKUP(E640, Ref_GLAccount!$A$2:$D$9, 2, FALSE)</f>
        <v>Training &amp; Development</v>
      </c>
      <c r="G640" s="3" t="str">
        <f>VLOOKUP(E640, Ref_GLAccount!$A$2:$D$9, 3, FALSE)</f>
        <v>Other OPEX</v>
      </c>
      <c r="H640" s="6" t="s">
        <v>66</v>
      </c>
      <c r="I640" s="7">
        <v>1790.67</v>
      </c>
      <c r="J640" s="18" t="b">
        <f>IF(tblFactFinance[[#This Row],[MonthStart]] &lt;= Inputs!$B$1, TRUE, FALSE)</f>
        <v>1</v>
      </c>
    </row>
    <row r="641" spans="1:10" x14ac:dyDescent="0.3">
      <c r="A641" s="15">
        <v>45870</v>
      </c>
      <c r="B641" s="17" t="s">
        <v>61</v>
      </c>
      <c r="C641" s="3" t="s">
        <v>5</v>
      </c>
      <c r="D641" s="3" t="str">
        <f>VLOOKUP(C641, Ref_Department!$A$2:$D$6, 2, FALSE)</f>
        <v>Human Resources</v>
      </c>
      <c r="E641" s="3" t="s">
        <v>12</v>
      </c>
      <c r="F641" s="3" t="str">
        <f>VLOOKUP(E641, Ref_GLAccount!$A$2:$D$9, 2, FALSE)</f>
        <v>Training &amp; Development</v>
      </c>
      <c r="G641" s="3" t="str">
        <f>VLOOKUP(E641, Ref_GLAccount!$A$2:$D$9, 3, FALSE)</f>
        <v>Other OPEX</v>
      </c>
      <c r="H641" s="6" t="s">
        <v>70</v>
      </c>
      <c r="I641" s="7">
        <v>1664</v>
      </c>
      <c r="J641" s="18" t="b">
        <f>IF(tblFactFinance[[#This Row],[MonthStart]] &lt;= Inputs!$B$1, TRUE, FALSE)</f>
        <v>1</v>
      </c>
    </row>
    <row r="642" spans="1:10" x14ac:dyDescent="0.3">
      <c r="A642" s="15">
        <v>45901</v>
      </c>
      <c r="B642" s="17" t="s">
        <v>62</v>
      </c>
      <c r="C642" s="3" t="s">
        <v>1</v>
      </c>
      <c r="D642" s="3" t="str">
        <f>VLOOKUP(C642, Ref_Department!$A$2:$D$6, 2, FALSE)</f>
        <v>Branch Operations</v>
      </c>
      <c r="E642" s="3" t="s">
        <v>33</v>
      </c>
      <c r="F642" s="3" t="str">
        <f>VLOOKUP(E642, Ref_GLAccount!$A$2:$D$9, 2, FALSE)</f>
        <v>Salaries</v>
      </c>
      <c r="G642" s="3" t="str">
        <f>VLOOKUP(E642, Ref_GLAccount!$A$2:$D$9, 3, FALSE)</f>
        <v>Personnel</v>
      </c>
      <c r="H642" s="6" t="s">
        <v>66</v>
      </c>
      <c r="I642" s="7">
        <v>215336.65</v>
      </c>
      <c r="J642" s="18" t="b">
        <f>IF(tblFactFinance[[#This Row],[MonthStart]] &lt;= Inputs!$B$1, TRUE, FALSE)</f>
        <v>1</v>
      </c>
    </row>
    <row r="643" spans="1:10" x14ac:dyDescent="0.3">
      <c r="A643" s="15">
        <v>45901</v>
      </c>
      <c r="B643" s="17" t="s">
        <v>62</v>
      </c>
      <c r="C643" s="3" t="s">
        <v>1</v>
      </c>
      <c r="D643" s="3" t="str">
        <f>VLOOKUP(C643, Ref_Department!$A$2:$D$6, 2, FALSE)</f>
        <v>Branch Operations</v>
      </c>
      <c r="E643" s="3" t="s">
        <v>33</v>
      </c>
      <c r="F643" s="3" t="str">
        <f>VLOOKUP(E643, Ref_GLAccount!$A$2:$D$9, 2, FALSE)</f>
        <v>Salaries</v>
      </c>
      <c r="G643" s="3" t="str">
        <f>VLOOKUP(E643, Ref_GLAccount!$A$2:$D$9, 3, FALSE)</f>
        <v>Personnel</v>
      </c>
      <c r="H643" s="6" t="s">
        <v>70</v>
      </c>
      <c r="I643" s="7">
        <v>200850</v>
      </c>
      <c r="J643" s="18" t="b">
        <f>IF(tblFactFinance[[#This Row],[MonthStart]] &lt;= Inputs!$B$1, TRUE, FALSE)</f>
        <v>1</v>
      </c>
    </row>
    <row r="644" spans="1:10" x14ac:dyDescent="0.3">
      <c r="A644" s="15">
        <v>45901</v>
      </c>
      <c r="B644" s="17" t="s">
        <v>62</v>
      </c>
      <c r="C644" s="3" t="s">
        <v>1</v>
      </c>
      <c r="D644" s="3" t="str">
        <f>VLOOKUP(C644, Ref_Department!$A$2:$D$6, 2, FALSE)</f>
        <v>Branch Operations</v>
      </c>
      <c r="E644" s="3" t="s">
        <v>37</v>
      </c>
      <c r="F644" s="3" t="str">
        <f>VLOOKUP(E644, Ref_GLAccount!$A$2:$D$9, 2, FALSE)</f>
        <v>Benefits</v>
      </c>
      <c r="G644" s="3" t="str">
        <f>VLOOKUP(E644, Ref_GLAccount!$A$2:$D$9, 3, FALSE)</f>
        <v>Personnel</v>
      </c>
      <c r="H644" s="6" t="s">
        <v>66</v>
      </c>
      <c r="I644" s="7">
        <v>40553.879999999997</v>
      </c>
      <c r="J644" s="18" t="b">
        <f>IF(tblFactFinance[[#This Row],[MonthStart]] &lt;= Inputs!$B$1, TRUE, FALSE)</f>
        <v>1</v>
      </c>
    </row>
    <row r="645" spans="1:10" x14ac:dyDescent="0.3">
      <c r="A645" s="15">
        <v>45901</v>
      </c>
      <c r="B645" s="17" t="s">
        <v>62</v>
      </c>
      <c r="C645" s="3" t="s">
        <v>1</v>
      </c>
      <c r="D645" s="3" t="str">
        <f>VLOOKUP(C645, Ref_Department!$A$2:$D$6, 2, FALSE)</f>
        <v>Branch Operations</v>
      </c>
      <c r="E645" s="3" t="s">
        <v>37</v>
      </c>
      <c r="F645" s="3" t="str">
        <f>VLOOKUP(E645, Ref_GLAccount!$A$2:$D$9, 2, FALSE)</f>
        <v>Benefits</v>
      </c>
      <c r="G645" s="3" t="str">
        <f>VLOOKUP(E645, Ref_GLAccount!$A$2:$D$9, 3, FALSE)</f>
        <v>Personnel</v>
      </c>
      <c r="H645" s="6" t="s">
        <v>70</v>
      </c>
      <c r="I645" s="7">
        <v>44187</v>
      </c>
      <c r="J645" s="18" t="b">
        <f>IF(tblFactFinance[[#This Row],[MonthStart]] &lt;= Inputs!$B$1, TRUE, FALSE)</f>
        <v>1</v>
      </c>
    </row>
    <row r="646" spans="1:10" x14ac:dyDescent="0.3">
      <c r="A646" s="15">
        <v>45901</v>
      </c>
      <c r="B646" s="17" t="s">
        <v>62</v>
      </c>
      <c r="C646" s="3" t="s">
        <v>1</v>
      </c>
      <c r="D646" s="3" t="str">
        <f>VLOOKUP(C646, Ref_Department!$A$2:$D$6, 2, FALSE)</f>
        <v>Branch Operations</v>
      </c>
      <c r="E646" s="3" t="s">
        <v>7</v>
      </c>
      <c r="F646" s="3" t="str">
        <f>VLOOKUP(E646, Ref_GLAccount!$A$2:$D$9, 2, FALSE)</f>
        <v>Occupancy &amp; Facilities</v>
      </c>
      <c r="G646" s="3" t="str">
        <f>VLOOKUP(E646, Ref_GLAccount!$A$2:$D$9, 3, FALSE)</f>
        <v>Facilities</v>
      </c>
      <c r="H646" s="6" t="s">
        <v>66</v>
      </c>
      <c r="I646" s="7">
        <v>39169.61</v>
      </c>
      <c r="J646" s="18" t="b">
        <f>IF(tblFactFinance[[#This Row],[MonthStart]] &lt;= Inputs!$B$1, TRUE, FALSE)</f>
        <v>1</v>
      </c>
    </row>
    <row r="647" spans="1:10" x14ac:dyDescent="0.3">
      <c r="A647" s="15">
        <v>45901</v>
      </c>
      <c r="B647" s="17" t="s">
        <v>62</v>
      </c>
      <c r="C647" s="3" t="s">
        <v>1</v>
      </c>
      <c r="D647" s="3" t="str">
        <f>VLOOKUP(C647, Ref_Department!$A$2:$D$6, 2, FALSE)</f>
        <v>Branch Operations</v>
      </c>
      <c r="E647" s="3" t="s">
        <v>7</v>
      </c>
      <c r="F647" s="3" t="str">
        <f>VLOOKUP(E647, Ref_GLAccount!$A$2:$D$9, 2, FALSE)</f>
        <v>Occupancy &amp; Facilities</v>
      </c>
      <c r="G647" s="3" t="str">
        <f>VLOOKUP(E647, Ref_GLAccount!$A$2:$D$9, 3, FALSE)</f>
        <v>Facilities</v>
      </c>
      <c r="H647" s="6" t="s">
        <v>70</v>
      </c>
      <c r="I647" s="7">
        <v>38000</v>
      </c>
      <c r="J647" s="18" t="b">
        <f>IF(tblFactFinance[[#This Row],[MonthStart]] &lt;= Inputs!$B$1, TRUE, FALSE)</f>
        <v>1</v>
      </c>
    </row>
    <row r="648" spans="1:10" x14ac:dyDescent="0.3">
      <c r="A648" s="15">
        <v>45901</v>
      </c>
      <c r="B648" s="17" t="s">
        <v>62</v>
      </c>
      <c r="C648" s="3" t="s">
        <v>1</v>
      </c>
      <c r="D648" s="3" t="str">
        <f>VLOOKUP(C648, Ref_Department!$A$2:$D$6, 2, FALSE)</f>
        <v>Branch Operations</v>
      </c>
      <c r="E648" s="3" t="s">
        <v>8</v>
      </c>
      <c r="F648" s="3" t="str">
        <f>VLOOKUP(E648, Ref_GLAccount!$A$2:$D$9, 2, FALSE)</f>
        <v>IT Software &amp; Subscriptions</v>
      </c>
      <c r="G648" s="3" t="str">
        <f>VLOOKUP(E648, Ref_GLAccount!$A$2:$D$9, 3, FALSE)</f>
        <v>IT</v>
      </c>
      <c r="H648" s="6" t="s">
        <v>66</v>
      </c>
      <c r="I648" s="7">
        <v>11523.39</v>
      </c>
      <c r="J648" s="18" t="b">
        <f>IF(tblFactFinance[[#This Row],[MonthStart]] &lt;= Inputs!$B$1, TRUE, FALSE)</f>
        <v>1</v>
      </c>
    </row>
    <row r="649" spans="1:10" x14ac:dyDescent="0.3">
      <c r="A649" s="15">
        <v>45901</v>
      </c>
      <c r="B649" s="17" t="s">
        <v>62</v>
      </c>
      <c r="C649" s="3" t="s">
        <v>1</v>
      </c>
      <c r="D649" s="3" t="str">
        <f>VLOOKUP(C649, Ref_Department!$A$2:$D$6, 2, FALSE)</f>
        <v>Branch Operations</v>
      </c>
      <c r="E649" s="3" t="s">
        <v>8</v>
      </c>
      <c r="F649" s="3" t="str">
        <f>VLOOKUP(E649, Ref_GLAccount!$A$2:$D$9, 2, FALSE)</f>
        <v>IT Software &amp; Subscriptions</v>
      </c>
      <c r="G649" s="3" t="str">
        <f>VLOOKUP(E649, Ref_GLAccount!$A$2:$D$9, 3, FALSE)</f>
        <v>IT</v>
      </c>
      <c r="H649" s="6" t="s">
        <v>70</v>
      </c>
      <c r="I649" s="7">
        <v>12480</v>
      </c>
      <c r="J649" s="18" t="b">
        <f>IF(tblFactFinance[[#This Row],[MonthStart]] &lt;= Inputs!$B$1, TRUE, FALSE)</f>
        <v>1</v>
      </c>
    </row>
    <row r="650" spans="1:10" x14ac:dyDescent="0.3">
      <c r="A650" s="15">
        <v>45901</v>
      </c>
      <c r="B650" s="17" t="s">
        <v>62</v>
      </c>
      <c r="C650" s="3" t="s">
        <v>1</v>
      </c>
      <c r="D650" s="3" t="str">
        <f>VLOOKUP(C650, Ref_Department!$A$2:$D$6, 2, FALSE)</f>
        <v>Branch Operations</v>
      </c>
      <c r="E650" s="3" t="s">
        <v>9</v>
      </c>
      <c r="F650" s="3" t="str">
        <f>VLOOKUP(E650, Ref_GLAccount!$A$2:$D$9, 2, FALSE)</f>
        <v>Marketing &amp; Advertising</v>
      </c>
      <c r="G650" s="3" t="str">
        <f>VLOOKUP(E650, Ref_GLAccount!$A$2:$D$9, 3, FALSE)</f>
        <v>Marketing</v>
      </c>
      <c r="H650" s="6" t="s">
        <v>66</v>
      </c>
      <c r="I650" s="7">
        <v>5757.05</v>
      </c>
      <c r="J650" s="18" t="b">
        <f>IF(tblFactFinance[[#This Row],[MonthStart]] &lt;= Inputs!$B$1, TRUE, FALSE)</f>
        <v>1</v>
      </c>
    </row>
    <row r="651" spans="1:10" x14ac:dyDescent="0.3">
      <c r="A651" s="15">
        <v>45901</v>
      </c>
      <c r="B651" s="17" t="s">
        <v>62</v>
      </c>
      <c r="C651" s="3" t="s">
        <v>1</v>
      </c>
      <c r="D651" s="3" t="str">
        <f>VLOOKUP(C651, Ref_Department!$A$2:$D$6, 2, FALSE)</f>
        <v>Branch Operations</v>
      </c>
      <c r="E651" s="3" t="s">
        <v>9</v>
      </c>
      <c r="F651" s="3" t="str">
        <f>VLOOKUP(E651, Ref_GLAccount!$A$2:$D$9, 2, FALSE)</f>
        <v>Marketing &amp; Advertising</v>
      </c>
      <c r="G651" s="3" t="str">
        <f>VLOOKUP(E651, Ref_GLAccount!$A$2:$D$9, 3, FALSE)</f>
        <v>Marketing</v>
      </c>
      <c r="H651" s="6" t="s">
        <v>70</v>
      </c>
      <c r="I651" s="7">
        <v>5408</v>
      </c>
      <c r="J651" s="18" t="b">
        <f>IF(tblFactFinance[[#This Row],[MonthStart]] &lt;= Inputs!$B$1, TRUE, FALSE)</f>
        <v>1</v>
      </c>
    </row>
    <row r="652" spans="1:10" x14ac:dyDescent="0.3">
      <c r="A652" s="15">
        <v>45901</v>
      </c>
      <c r="B652" s="17" t="s">
        <v>62</v>
      </c>
      <c r="C652" s="3" t="s">
        <v>1</v>
      </c>
      <c r="D652" s="3" t="str">
        <f>VLOOKUP(C652, Ref_Department!$A$2:$D$6, 2, FALSE)</f>
        <v>Branch Operations</v>
      </c>
      <c r="E652" s="3" t="s">
        <v>10</v>
      </c>
      <c r="F652" s="3" t="str">
        <f>VLOOKUP(E652, Ref_GLAccount!$A$2:$D$9, 2, FALSE)</f>
        <v>Professional Services</v>
      </c>
      <c r="G652" s="3" t="str">
        <f>VLOOKUP(E652, Ref_GLAccount!$A$2:$D$9, 3, FALSE)</f>
        <v>Professional Services</v>
      </c>
      <c r="H652" s="6" t="s">
        <v>66</v>
      </c>
      <c r="I652" s="7">
        <v>5252.7</v>
      </c>
      <c r="J652" s="18" t="b">
        <f>IF(tblFactFinance[[#This Row],[MonthStart]] &lt;= Inputs!$B$1, TRUE, FALSE)</f>
        <v>1</v>
      </c>
    </row>
    <row r="653" spans="1:10" x14ac:dyDescent="0.3">
      <c r="A653" s="15">
        <v>45901</v>
      </c>
      <c r="B653" s="17" t="s">
        <v>62</v>
      </c>
      <c r="C653" s="3" t="s">
        <v>1</v>
      </c>
      <c r="D653" s="3" t="str">
        <f>VLOOKUP(C653, Ref_Department!$A$2:$D$6, 2, FALSE)</f>
        <v>Branch Operations</v>
      </c>
      <c r="E653" s="3" t="s">
        <v>10</v>
      </c>
      <c r="F653" s="3" t="str">
        <f>VLOOKUP(E653, Ref_GLAccount!$A$2:$D$9, 2, FALSE)</f>
        <v>Professional Services</v>
      </c>
      <c r="G653" s="3" t="str">
        <f>VLOOKUP(E653, Ref_GLAccount!$A$2:$D$9, 3, FALSE)</f>
        <v>Professional Services</v>
      </c>
      <c r="H653" s="6" t="s">
        <v>70</v>
      </c>
      <c r="I653" s="7">
        <v>5200</v>
      </c>
      <c r="J653" s="18" t="b">
        <f>IF(tblFactFinance[[#This Row],[MonthStart]] &lt;= Inputs!$B$1, TRUE, FALSE)</f>
        <v>1</v>
      </c>
    </row>
    <row r="654" spans="1:10" x14ac:dyDescent="0.3">
      <c r="A654" s="15">
        <v>45901</v>
      </c>
      <c r="B654" s="17" t="s">
        <v>62</v>
      </c>
      <c r="C654" s="3" t="s">
        <v>1</v>
      </c>
      <c r="D654" s="3" t="str">
        <f>VLOOKUP(C654, Ref_Department!$A$2:$D$6, 2, FALSE)</f>
        <v>Branch Operations</v>
      </c>
      <c r="E654" s="3" t="s">
        <v>11</v>
      </c>
      <c r="F654" s="3" t="str">
        <f>VLOOKUP(E654, Ref_GLAccount!$A$2:$D$9, 2, FALSE)</f>
        <v>Office Supplies</v>
      </c>
      <c r="G654" s="3" t="str">
        <f>VLOOKUP(E654, Ref_GLAccount!$A$2:$D$9, 3, FALSE)</f>
        <v>Other OPEX</v>
      </c>
      <c r="H654" s="6" t="s">
        <v>66</v>
      </c>
      <c r="I654" s="7">
        <v>1488.79</v>
      </c>
      <c r="J654" s="18" t="b">
        <f>IF(tblFactFinance[[#This Row],[MonthStart]] &lt;= Inputs!$B$1, TRUE, FALSE)</f>
        <v>1</v>
      </c>
    </row>
    <row r="655" spans="1:10" x14ac:dyDescent="0.3">
      <c r="A655" s="15">
        <v>45901</v>
      </c>
      <c r="B655" s="17" t="s">
        <v>62</v>
      </c>
      <c r="C655" s="3" t="s">
        <v>1</v>
      </c>
      <c r="D655" s="3" t="str">
        <f>VLOOKUP(C655, Ref_Department!$A$2:$D$6, 2, FALSE)</f>
        <v>Branch Operations</v>
      </c>
      <c r="E655" s="3" t="s">
        <v>11</v>
      </c>
      <c r="F655" s="3" t="str">
        <f>VLOOKUP(E655, Ref_GLAccount!$A$2:$D$9, 2, FALSE)</f>
        <v>Office Supplies</v>
      </c>
      <c r="G655" s="3" t="str">
        <f>VLOOKUP(E655, Ref_GLAccount!$A$2:$D$9, 3, FALSE)</f>
        <v>Other OPEX</v>
      </c>
      <c r="H655" s="6" t="s">
        <v>70</v>
      </c>
      <c r="I655" s="7">
        <v>1560</v>
      </c>
      <c r="J655" s="18" t="b">
        <f>IF(tblFactFinance[[#This Row],[MonthStart]] &lt;= Inputs!$B$1, TRUE, FALSE)</f>
        <v>1</v>
      </c>
    </row>
    <row r="656" spans="1:10" x14ac:dyDescent="0.3">
      <c r="A656" s="15">
        <v>45901</v>
      </c>
      <c r="B656" s="17" t="s">
        <v>62</v>
      </c>
      <c r="C656" s="3" t="s">
        <v>1</v>
      </c>
      <c r="D656" s="3" t="str">
        <f>VLOOKUP(C656, Ref_Department!$A$2:$D$6, 2, FALSE)</f>
        <v>Branch Operations</v>
      </c>
      <c r="E656" s="3" t="s">
        <v>12</v>
      </c>
      <c r="F656" s="3" t="str">
        <f>VLOOKUP(E656, Ref_GLAccount!$A$2:$D$9, 2, FALSE)</f>
        <v>Training &amp; Development</v>
      </c>
      <c r="G656" s="3" t="str">
        <f>VLOOKUP(E656, Ref_GLAccount!$A$2:$D$9, 3, FALSE)</f>
        <v>Other OPEX</v>
      </c>
      <c r="H656" s="6" t="s">
        <v>66</v>
      </c>
      <c r="I656" s="7">
        <v>1348.33</v>
      </c>
      <c r="J656" s="18" t="b">
        <f>IF(tblFactFinance[[#This Row],[MonthStart]] &lt;= Inputs!$B$1, TRUE, FALSE)</f>
        <v>1</v>
      </c>
    </row>
    <row r="657" spans="1:10" x14ac:dyDescent="0.3">
      <c r="A657" s="15">
        <v>45901</v>
      </c>
      <c r="B657" s="17" t="s">
        <v>62</v>
      </c>
      <c r="C657" s="3" t="s">
        <v>1</v>
      </c>
      <c r="D657" s="3" t="str">
        <f>VLOOKUP(C657, Ref_Department!$A$2:$D$6, 2, FALSE)</f>
        <v>Branch Operations</v>
      </c>
      <c r="E657" s="3" t="s">
        <v>12</v>
      </c>
      <c r="F657" s="3" t="str">
        <f>VLOOKUP(E657, Ref_GLAccount!$A$2:$D$9, 2, FALSE)</f>
        <v>Training &amp; Development</v>
      </c>
      <c r="G657" s="3" t="str">
        <f>VLOOKUP(E657, Ref_GLAccount!$A$2:$D$9, 3, FALSE)</f>
        <v>Other OPEX</v>
      </c>
      <c r="H657" s="6" t="s">
        <v>70</v>
      </c>
      <c r="I657" s="7">
        <v>1248</v>
      </c>
      <c r="J657" s="18" t="b">
        <f>IF(tblFactFinance[[#This Row],[MonthStart]] &lt;= Inputs!$B$1, TRUE, FALSE)</f>
        <v>1</v>
      </c>
    </row>
    <row r="658" spans="1:10" x14ac:dyDescent="0.3">
      <c r="A658" s="15">
        <v>45901</v>
      </c>
      <c r="B658" s="17" t="s">
        <v>62</v>
      </c>
      <c r="C658" s="3" t="s">
        <v>2</v>
      </c>
      <c r="D658" s="3" t="str">
        <f>VLOOKUP(C658, Ref_Department!$A$2:$D$6, 2, FALSE)</f>
        <v>Lending</v>
      </c>
      <c r="E658" s="3" t="s">
        <v>33</v>
      </c>
      <c r="F658" s="3" t="str">
        <f>VLOOKUP(E658, Ref_GLAccount!$A$2:$D$9, 2, FALSE)</f>
        <v>Salaries</v>
      </c>
      <c r="G658" s="3" t="str">
        <f>VLOOKUP(E658, Ref_GLAccount!$A$2:$D$9, 3, FALSE)</f>
        <v>Personnel</v>
      </c>
      <c r="H658" s="6" t="s">
        <v>66</v>
      </c>
      <c r="I658" s="7">
        <v>177497.31</v>
      </c>
      <c r="J658" s="18" t="b">
        <f>IF(tblFactFinance[[#This Row],[MonthStart]] &lt;= Inputs!$B$1, TRUE, FALSE)</f>
        <v>1</v>
      </c>
    </row>
    <row r="659" spans="1:10" x14ac:dyDescent="0.3">
      <c r="A659" s="15">
        <v>45901</v>
      </c>
      <c r="B659" s="17" t="s">
        <v>62</v>
      </c>
      <c r="C659" s="3" t="s">
        <v>2</v>
      </c>
      <c r="D659" s="3" t="str">
        <f>VLOOKUP(C659, Ref_Department!$A$2:$D$6, 2, FALSE)</f>
        <v>Lending</v>
      </c>
      <c r="E659" s="3" t="s">
        <v>33</v>
      </c>
      <c r="F659" s="3" t="str">
        <f>VLOOKUP(E659, Ref_GLAccount!$A$2:$D$9, 2, FALSE)</f>
        <v>Salaries</v>
      </c>
      <c r="G659" s="3" t="str">
        <f>VLOOKUP(E659, Ref_GLAccount!$A$2:$D$9, 3, FALSE)</f>
        <v>Personnel</v>
      </c>
      <c r="H659" s="6" t="s">
        <v>70</v>
      </c>
      <c r="I659" s="7">
        <v>173040</v>
      </c>
      <c r="J659" s="18" t="b">
        <f>IF(tblFactFinance[[#This Row],[MonthStart]] &lt;= Inputs!$B$1, TRUE, FALSE)</f>
        <v>1</v>
      </c>
    </row>
    <row r="660" spans="1:10" x14ac:dyDescent="0.3">
      <c r="A660" s="15">
        <v>45901</v>
      </c>
      <c r="B660" s="17" t="s">
        <v>62</v>
      </c>
      <c r="C660" s="3" t="s">
        <v>2</v>
      </c>
      <c r="D660" s="3" t="str">
        <f>VLOOKUP(C660, Ref_Department!$A$2:$D$6, 2, FALSE)</f>
        <v>Lending</v>
      </c>
      <c r="E660" s="3" t="s">
        <v>37</v>
      </c>
      <c r="F660" s="3" t="str">
        <f>VLOOKUP(E660, Ref_GLAccount!$A$2:$D$9, 2, FALSE)</f>
        <v>Benefits</v>
      </c>
      <c r="G660" s="3" t="str">
        <f>VLOOKUP(E660, Ref_GLAccount!$A$2:$D$9, 3, FALSE)</f>
        <v>Personnel</v>
      </c>
      <c r="H660" s="6" t="s">
        <v>66</v>
      </c>
      <c r="I660" s="7">
        <v>35189.050000000003</v>
      </c>
      <c r="J660" s="18" t="b">
        <f>IF(tblFactFinance[[#This Row],[MonthStart]] &lt;= Inputs!$B$1, TRUE, FALSE)</f>
        <v>1</v>
      </c>
    </row>
    <row r="661" spans="1:10" x14ac:dyDescent="0.3">
      <c r="A661" s="15">
        <v>45901</v>
      </c>
      <c r="B661" s="17" t="s">
        <v>62</v>
      </c>
      <c r="C661" s="3" t="s">
        <v>2</v>
      </c>
      <c r="D661" s="3" t="str">
        <f>VLOOKUP(C661, Ref_Department!$A$2:$D$6, 2, FALSE)</f>
        <v>Lending</v>
      </c>
      <c r="E661" s="3" t="s">
        <v>37</v>
      </c>
      <c r="F661" s="3" t="str">
        <f>VLOOKUP(E661, Ref_GLAccount!$A$2:$D$9, 2, FALSE)</f>
        <v>Benefits</v>
      </c>
      <c r="G661" s="3" t="str">
        <f>VLOOKUP(E661, Ref_GLAccount!$A$2:$D$9, 3, FALSE)</f>
        <v>Personnel</v>
      </c>
      <c r="H661" s="6" t="s">
        <v>70</v>
      </c>
      <c r="I661" s="7">
        <v>38068.800000000003</v>
      </c>
      <c r="J661" s="18" t="b">
        <f>IF(tblFactFinance[[#This Row],[MonthStart]] &lt;= Inputs!$B$1, TRUE, FALSE)</f>
        <v>1</v>
      </c>
    </row>
    <row r="662" spans="1:10" x14ac:dyDescent="0.3">
      <c r="A662" s="15">
        <v>45901</v>
      </c>
      <c r="B662" s="17" t="s">
        <v>62</v>
      </c>
      <c r="C662" s="3" t="s">
        <v>2</v>
      </c>
      <c r="D662" s="3" t="str">
        <f>VLOOKUP(C662, Ref_Department!$A$2:$D$6, 2, FALSE)</f>
        <v>Lending</v>
      </c>
      <c r="E662" s="3" t="s">
        <v>7</v>
      </c>
      <c r="F662" s="3" t="str">
        <f>VLOOKUP(E662, Ref_GLAccount!$A$2:$D$9, 2, FALSE)</f>
        <v>Occupancy &amp; Facilities</v>
      </c>
      <c r="G662" s="3" t="str">
        <f>VLOOKUP(E662, Ref_GLAccount!$A$2:$D$9, 3, FALSE)</f>
        <v>Facilities</v>
      </c>
      <c r="H662" s="6" t="s">
        <v>66</v>
      </c>
      <c r="I662" s="7">
        <v>16187.82</v>
      </c>
      <c r="J662" s="18" t="b">
        <f>IF(tblFactFinance[[#This Row],[MonthStart]] &lt;= Inputs!$B$1, TRUE, FALSE)</f>
        <v>1</v>
      </c>
    </row>
    <row r="663" spans="1:10" x14ac:dyDescent="0.3">
      <c r="A663" s="15">
        <v>45901</v>
      </c>
      <c r="B663" s="17" t="s">
        <v>62</v>
      </c>
      <c r="C663" s="3" t="s">
        <v>2</v>
      </c>
      <c r="D663" s="3" t="str">
        <f>VLOOKUP(C663, Ref_Department!$A$2:$D$6, 2, FALSE)</f>
        <v>Lending</v>
      </c>
      <c r="E663" s="3" t="s">
        <v>7</v>
      </c>
      <c r="F663" s="3" t="str">
        <f>VLOOKUP(E663, Ref_GLAccount!$A$2:$D$9, 2, FALSE)</f>
        <v>Occupancy &amp; Facilities</v>
      </c>
      <c r="G663" s="3" t="str">
        <f>VLOOKUP(E663, Ref_GLAccount!$A$2:$D$9, 3, FALSE)</f>
        <v>Facilities</v>
      </c>
      <c r="H663" s="6" t="s">
        <v>70</v>
      </c>
      <c r="I663" s="7">
        <v>16000</v>
      </c>
      <c r="J663" s="18" t="b">
        <f>IF(tblFactFinance[[#This Row],[MonthStart]] &lt;= Inputs!$B$1, TRUE, FALSE)</f>
        <v>1</v>
      </c>
    </row>
    <row r="664" spans="1:10" x14ac:dyDescent="0.3">
      <c r="A664" s="15">
        <v>45901</v>
      </c>
      <c r="B664" s="17" t="s">
        <v>62</v>
      </c>
      <c r="C664" s="3" t="s">
        <v>2</v>
      </c>
      <c r="D664" s="3" t="str">
        <f>VLOOKUP(C664, Ref_Department!$A$2:$D$6, 2, FALSE)</f>
        <v>Lending</v>
      </c>
      <c r="E664" s="3" t="s">
        <v>8</v>
      </c>
      <c r="F664" s="3" t="str">
        <f>VLOOKUP(E664, Ref_GLAccount!$A$2:$D$9, 2, FALSE)</f>
        <v>IT Software &amp; Subscriptions</v>
      </c>
      <c r="G664" s="3" t="str">
        <f>VLOOKUP(E664, Ref_GLAccount!$A$2:$D$9, 3, FALSE)</f>
        <v>IT</v>
      </c>
      <c r="H664" s="6" t="s">
        <v>66</v>
      </c>
      <c r="I664" s="7">
        <v>9086.26</v>
      </c>
      <c r="J664" s="18" t="b">
        <f>IF(tblFactFinance[[#This Row],[MonthStart]] &lt;= Inputs!$B$1, TRUE, FALSE)</f>
        <v>1</v>
      </c>
    </row>
    <row r="665" spans="1:10" x14ac:dyDescent="0.3">
      <c r="A665" s="15">
        <v>45901</v>
      </c>
      <c r="B665" s="17" t="s">
        <v>62</v>
      </c>
      <c r="C665" s="3" t="s">
        <v>2</v>
      </c>
      <c r="D665" s="3" t="str">
        <f>VLOOKUP(C665, Ref_Department!$A$2:$D$6, 2, FALSE)</f>
        <v>Lending</v>
      </c>
      <c r="E665" s="3" t="s">
        <v>8</v>
      </c>
      <c r="F665" s="3" t="str">
        <f>VLOOKUP(E665, Ref_GLAccount!$A$2:$D$9, 2, FALSE)</f>
        <v>IT Software &amp; Subscriptions</v>
      </c>
      <c r="G665" s="3" t="str">
        <f>VLOOKUP(E665, Ref_GLAccount!$A$2:$D$9, 3, FALSE)</f>
        <v>IT</v>
      </c>
      <c r="H665" s="6" t="s">
        <v>70</v>
      </c>
      <c r="I665" s="7">
        <v>9360</v>
      </c>
      <c r="J665" s="18" t="b">
        <f>IF(tblFactFinance[[#This Row],[MonthStart]] &lt;= Inputs!$B$1, TRUE, FALSE)</f>
        <v>1</v>
      </c>
    </row>
    <row r="666" spans="1:10" x14ac:dyDescent="0.3">
      <c r="A666" s="15">
        <v>45901</v>
      </c>
      <c r="B666" s="17" t="s">
        <v>62</v>
      </c>
      <c r="C666" s="3" t="s">
        <v>2</v>
      </c>
      <c r="D666" s="3" t="str">
        <f>VLOOKUP(C666, Ref_Department!$A$2:$D$6, 2, FALSE)</f>
        <v>Lending</v>
      </c>
      <c r="E666" s="3" t="s">
        <v>9</v>
      </c>
      <c r="F666" s="3" t="str">
        <f>VLOOKUP(E666, Ref_GLAccount!$A$2:$D$9, 2, FALSE)</f>
        <v>Marketing &amp; Advertising</v>
      </c>
      <c r="G666" s="3" t="str">
        <f>VLOOKUP(E666, Ref_GLAccount!$A$2:$D$9, 3, FALSE)</f>
        <v>Marketing</v>
      </c>
      <c r="H666" s="6" t="s">
        <v>66</v>
      </c>
      <c r="I666" s="7">
        <v>8148.11</v>
      </c>
      <c r="J666" s="18" t="b">
        <f>IF(tblFactFinance[[#This Row],[MonthStart]] &lt;= Inputs!$B$1, TRUE, FALSE)</f>
        <v>1</v>
      </c>
    </row>
    <row r="667" spans="1:10" x14ac:dyDescent="0.3">
      <c r="A667" s="15">
        <v>45901</v>
      </c>
      <c r="B667" s="17" t="s">
        <v>62</v>
      </c>
      <c r="C667" s="3" t="s">
        <v>2</v>
      </c>
      <c r="D667" s="3" t="str">
        <f>VLOOKUP(C667, Ref_Department!$A$2:$D$6, 2, FALSE)</f>
        <v>Lending</v>
      </c>
      <c r="E667" s="3" t="s">
        <v>9</v>
      </c>
      <c r="F667" s="3" t="str">
        <f>VLOOKUP(E667, Ref_GLAccount!$A$2:$D$9, 2, FALSE)</f>
        <v>Marketing &amp; Advertising</v>
      </c>
      <c r="G667" s="3" t="str">
        <f>VLOOKUP(E667, Ref_GLAccount!$A$2:$D$9, 3, FALSE)</f>
        <v>Marketing</v>
      </c>
      <c r="H667" s="6" t="s">
        <v>70</v>
      </c>
      <c r="I667" s="7">
        <v>8112</v>
      </c>
      <c r="J667" s="18" t="b">
        <f>IF(tblFactFinance[[#This Row],[MonthStart]] &lt;= Inputs!$B$1, TRUE, FALSE)</f>
        <v>1</v>
      </c>
    </row>
    <row r="668" spans="1:10" x14ac:dyDescent="0.3">
      <c r="A668" s="15">
        <v>45901</v>
      </c>
      <c r="B668" s="17" t="s">
        <v>62</v>
      </c>
      <c r="C668" s="3" t="s">
        <v>2</v>
      </c>
      <c r="D668" s="3" t="str">
        <f>VLOOKUP(C668, Ref_Department!$A$2:$D$6, 2, FALSE)</f>
        <v>Lending</v>
      </c>
      <c r="E668" s="3" t="s">
        <v>10</v>
      </c>
      <c r="F668" s="3" t="str">
        <f>VLOOKUP(E668, Ref_GLAccount!$A$2:$D$9, 2, FALSE)</f>
        <v>Professional Services</v>
      </c>
      <c r="G668" s="3" t="str">
        <f>VLOOKUP(E668, Ref_GLAccount!$A$2:$D$9, 3, FALSE)</f>
        <v>Professional Services</v>
      </c>
      <c r="H668" s="6" t="s">
        <v>66</v>
      </c>
      <c r="I668" s="7">
        <v>8165.18</v>
      </c>
      <c r="J668" s="18" t="b">
        <f>IF(tblFactFinance[[#This Row],[MonthStart]] &lt;= Inputs!$B$1, TRUE, FALSE)</f>
        <v>1</v>
      </c>
    </row>
    <row r="669" spans="1:10" x14ac:dyDescent="0.3">
      <c r="A669" s="15">
        <v>45901</v>
      </c>
      <c r="B669" s="17" t="s">
        <v>62</v>
      </c>
      <c r="C669" s="3" t="s">
        <v>2</v>
      </c>
      <c r="D669" s="3" t="str">
        <f>VLOOKUP(C669, Ref_Department!$A$2:$D$6, 2, FALSE)</f>
        <v>Lending</v>
      </c>
      <c r="E669" s="3" t="s">
        <v>10</v>
      </c>
      <c r="F669" s="3" t="str">
        <f>VLOOKUP(E669, Ref_GLAccount!$A$2:$D$9, 2, FALSE)</f>
        <v>Professional Services</v>
      </c>
      <c r="G669" s="3" t="str">
        <f>VLOOKUP(E669, Ref_GLAccount!$A$2:$D$9, 3, FALSE)</f>
        <v>Professional Services</v>
      </c>
      <c r="H669" s="6" t="s">
        <v>70</v>
      </c>
      <c r="I669" s="7">
        <v>8320</v>
      </c>
      <c r="J669" s="18" t="b">
        <f>IF(tblFactFinance[[#This Row],[MonthStart]] &lt;= Inputs!$B$1, TRUE, FALSE)</f>
        <v>1</v>
      </c>
    </row>
    <row r="670" spans="1:10" x14ac:dyDescent="0.3">
      <c r="A670" s="15">
        <v>45901</v>
      </c>
      <c r="B670" s="17" t="s">
        <v>62</v>
      </c>
      <c r="C670" s="3" t="s">
        <v>2</v>
      </c>
      <c r="D670" s="3" t="str">
        <f>VLOOKUP(C670, Ref_Department!$A$2:$D$6, 2, FALSE)</f>
        <v>Lending</v>
      </c>
      <c r="E670" s="3" t="s">
        <v>11</v>
      </c>
      <c r="F670" s="3" t="str">
        <f>VLOOKUP(E670, Ref_GLAccount!$A$2:$D$9, 2, FALSE)</f>
        <v>Office Supplies</v>
      </c>
      <c r="G670" s="3" t="str">
        <f>VLOOKUP(E670, Ref_GLAccount!$A$2:$D$9, 3, FALSE)</f>
        <v>Other OPEX</v>
      </c>
      <c r="H670" s="6" t="s">
        <v>66</v>
      </c>
      <c r="I670" s="7">
        <v>987.42</v>
      </c>
      <c r="J670" s="18" t="b">
        <f>IF(tblFactFinance[[#This Row],[MonthStart]] &lt;= Inputs!$B$1, TRUE, FALSE)</f>
        <v>1</v>
      </c>
    </row>
    <row r="671" spans="1:10" x14ac:dyDescent="0.3">
      <c r="A671" s="15">
        <v>45901</v>
      </c>
      <c r="B671" s="17" t="s">
        <v>62</v>
      </c>
      <c r="C671" s="3" t="s">
        <v>2</v>
      </c>
      <c r="D671" s="3" t="str">
        <f>VLOOKUP(C671, Ref_Department!$A$2:$D$6, 2, FALSE)</f>
        <v>Lending</v>
      </c>
      <c r="E671" s="3" t="s">
        <v>11</v>
      </c>
      <c r="F671" s="3" t="str">
        <f>VLOOKUP(E671, Ref_GLAccount!$A$2:$D$9, 2, FALSE)</f>
        <v>Office Supplies</v>
      </c>
      <c r="G671" s="3" t="str">
        <f>VLOOKUP(E671, Ref_GLAccount!$A$2:$D$9, 3, FALSE)</f>
        <v>Other OPEX</v>
      </c>
      <c r="H671" s="6" t="s">
        <v>70</v>
      </c>
      <c r="I671" s="7">
        <v>936</v>
      </c>
      <c r="J671" s="18" t="b">
        <f>IF(tblFactFinance[[#This Row],[MonthStart]] &lt;= Inputs!$B$1, TRUE, FALSE)</f>
        <v>1</v>
      </c>
    </row>
    <row r="672" spans="1:10" x14ac:dyDescent="0.3">
      <c r="A672" s="15">
        <v>45901</v>
      </c>
      <c r="B672" s="17" t="s">
        <v>62</v>
      </c>
      <c r="C672" s="3" t="s">
        <v>2</v>
      </c>
      <c r="D672" s="3" t="str">
        <f>VLOOKUP(C672, Ref_Department!$A$2:$D$6, 2, FALSE)</f>
        <v>Lending</v>
      </c>
      <c r="E672" s="3" t="s">
        <v>12</v>
      </c>
      <c r="F672" s="3" t="str">
        <f>VLOOKUP(E672, Ref_GLAccount!$A$2:$D$9, 2, FALSE)</f>
        <v>Training &amp; Development</v>
      </c>
      <c r="G672" s="3" t="str">
        <f>VLOOKUP(E672, Ref_GLAccount!$A$2:$D$9, 3, FALSE)</f>
        <v>Other OPEX</v>
      </c>
      <c r="H672" s="6" t="s">
        <v>66</v>
      </c>
      <c r="I672" s="7">
        <v>1373.11</v>
      </c>
      <c r="J672" s="18" t="b">
        <f>IF(tblFactFinance[[#This Row],[MonthStart]] &lt;= Inputs!$B$1, TRUE, FALSE)</f>
        <v>1</v>
      </c>
    </row>
    <row r="673" spans="1:10" x14ac:dyDescent="0.3">
      <c r="A673" s="15">
        <v>45901</v>
      </c>
      <c r="B673" s="17" t="s">
        <v>62</v>
      </c>
      <c r="C673" s="3" t="s">
        <v>2</v>
      </c>
      <c r="D673" s="3" t="str">
        <f>VLOOKUP(C673, Ref_Department!$A$2:$D$6, 2, FALSE)</f>
        <v>Lending</v>
      </c>
      <c r="E673" s="3" t="s">
        <v>12</v>
      </c>
      <c r="F673" s="3" t="str">
        <f>VLOOKUP(E673, Ref_GLAccount!$A$2:$D$9, 2, FALSE)</f>
        <v>Training &amp; Development</v>
      </c>
      <c r="G673" s="3" t="str">
        <f>VLOOKUP(E673, Ref_GLAccount!$A$2:$D$9, 3, FALSE)</f>
        <v>Other OPEX</v>
      </c>
      <c r="H673" s="6" t="s">
        <v>70</v>
      </c>
      <c r="I673" s="7">
        <v>1456</v>
      </c>
      <c r="J673" s="18" t="b">
        <f>IF(tblFactFinance[[#This Row],[MonthStart]] &lt;= Inputs!$B$1, TRUE, FALSE)</f>
        <v>1</v>
      </c>
    </row>
    <row r="674" spans="1:10" x14ac:dyDescent="0.3">
      <c r="A674" s="15">
        <v>45901</v>
      </c>
      <c r="B674" s="17" t="s">
        <v>62</v>
      </c>
      <c r="C674" s="3" t="s">
        <v>3</v>
      </c>
      <c r="D674" s="3" t="str">
        <f>VLOOKUP(C674, Ref_Department!$A$2:$D$6, 2, FALSE)</f>
        <v>Information Technology</v>
      </c>
      <c r="E674" s="3" t="s">
        <v>33</v>
      </c>
      <c r="F674" s="3" t="str">
        <f>VLOOKUP(E674, Ref_GLAccount!$A$2:$D$9, 2, FALSE)</f>
        <v>Salaries</v>
      </c>
      <c r="G674" s="3" t="str">
        <f>VLOOKUP(E674, Ref_GLAccount!$A$2:$D$9, 3, FALSE)</f>
        <v>Personnel</v>
      </c>
      <c r="H674" s="6" t="s">
        <v>66</v>
      </c>
      <c r="I674" s="7">
        <v>153332.32999999999</v>
      </c>
      <c r="J674" s="18" t="b">
        <f>IF(tblFactFinance[[#This Row],[MonthStart]] &lt;= Inputs!$B$1, TRUE, FALSE)</f>
        <v>1</v>
      </c>
    </row>
    <row r="675" spans="1:10" x14ac:dyDescent="0.3">
      <c r="A675" s="15">
        <v>45901</v>
      </c>
      <c r="B675" s="17" t="s">
        <v>62</v>
      </c>
      <c r="C675" s="3" t="s">
        <v>3</v>
      </c>
      <c r="D675" s="3" t="str">
        <f>VLOOKUP(C675, Ref_Department!$A$2:$D$6, 2, FALSE)</f>
        <v>Information Technology</v>
      </c>
      <c r="E675" s="3" t="s">
        <v>33</v>
      </c>
      <c r="F675" s="3" t="str">
        <f>VLOOKUP(E675, Ref_GLAccount!$A$2:$D$9, 2, FALSE)</f>
        <v>Salaries</v>
      </c>
      <c r="G675" s="3" t="str">
        <f>VLOOKUP(E675, Ref_GLAccount!$A$2:$D$9, 3, FALSE)</f>
        <v>Personnel</v>
      </c>
      <c r="H675" s="6" t="s">
        <v>70</v>
      </c>
      <c r="I675" s="7">
        <v>151410</v>
      </c>
      <c r="J675" s="18" t="b">
        <f>IF(tblFactFinance[[#This Row],[MonthStart]] &lt;= Inputs!$B$1, TRUE, FALSE)</f>
        <v>1</v>
      </c>
    </row>
    <row r="676" spans="1:10" x14ac:dyDescent="0.3">
      <c r="A676" s="15">
        <v>45901</v>
      </c>
      <c r="B676" s="17" t="s">
        <v>62</v>
      </c>
      <c r="C676" s="3" t="s">
        <v>3</v>
      </c>
      <c r="D676" s="3" t="str">
        <f>VLOOKUP(C676, Ref_Department!$A$2:$D$6, 2, FALSE)</f>
        <v>Information Technology</v>
      </c>
      <c r="E676" s="3" t="s">
        <v>37</v>
      </c>
      <c r="F676" s="3" t="str">
        <f>VLOOKUP(E676, Ref_GLAccount!$A$2:$D$9, 2, FALSE)</f>
        <v>Benefits</v>
      </c>
      <c r="G676" s="3" t="str">
        <f>VLOOKUP(E676, Ref_GLAccount!$A$2:$D$9, 3, FALSE)</f>
        <v>Personnel</v>
      </c>
      <c r="H676" s="6" t="s">
        <v>66</v>
      </c>
      <c r="I676" s="7">
        <v>35727.440000000002</v>
      </c>
      <c r="J676" s="18" t="b">
        <f>IF(tblFactFinance[[#This Row],[MonthStart]] &lt;= Inputs!$B$1, TRUE, FALSE)</f>
        <v>1</v>
      </c>
    </row>
    <row r="677" spans="1:10" x14ac:dyDescent="0.3">
      <c r="A677" s="15">
        <v>45901</v>
      </c>
      <c r="B677" s="17" t="s">
        <v>62</v>
      </c>
      <c r="C677" s="3" t="s">
        <v>3</v>
      </c>
      <c r="D677" s="3" t="str">
        <f>VLOOKUP(C677, Ref_Department!$A$2:$D$6, 2, FALSE)</f>
        <v>Information Technology</v>
      </c>
      <c r="E677" s="3" t="s">
        <v>37</v>
      </c>
      <c r="F677" s="3" t="str">
        <f>VLOOKUP(E677, Ref_GLAccount!$A$2:$D$9, 2, FALSE)</f>
        <v>Benefits</v>
      </c>
      <c r="G677" s="3" t="str">
        <f>VLOOKUP(E677, Ref_GLAccount!$A$2:$D$9, 3, FALSE)</f>
        <v>Personnel</v>
      </c>
      <c r="H677" s="6" t="s">
        <v>70</v>
      </c>
      <c r="I677" s="7">
        <v>33310.199999999997</v>
      </c>
      <c r="J677" s="18" t="b">
        <f>IF(tblFactFinance[[#This Row],[MonthStart]] &lt;= Inputs!$B$1, TRUE, FALSE)</f>
        <v>1</v>
      </c>
    </row>
    <row r="678" spans="1:10" x14ac:dyDescent="0.3">
      <c r="A678" s="15">
        <v>45901</v>
      </c>
      <c r="B678" s="17" t="s">
        <v>62</v>
      </c>
      <c r="C678" s="3" t="s">
        <v>3</v>
      </c>
      <c r="D678" s="3" t="str">
        <f>VLOOKUP(C678, Ref_Department!$A$2:$D$6, 2, FALSE)</f>
        <v>Information Technology</v>
      </c>
      <c r="E678" s="3" t="s">
        <v>7</v>
      </c>
      <c r="F678" s="3" t="str">
        <f>VLOOKUP(E678, Ref_GLAccount!$A$2:$D$9, 2, FALSE)</f>
        <v>Occupancy &amp; Facilities</v>
      </c>
      <c r="G678" s="3" t="str">
        <f>VLOOKUP(E678, Ref_GLAccount!$A$2:$D$9, 3, FALSE)</f>
        <v>Facilities</v>
      </c>
      <c r="H678" s="6" t="s">
        <v>66</v>
      </c>
      <c r="I678" s="7">
        <v>8702.2900000000009</v>
      </c>
      <c r="J678" s="18" t="b">
        <f>IF(tblFactFinance[[#This Row],[MonthStart]] &lt;= Inputs!$B$1, TRUE, FALSE)</f>
        <v>1</v>
      </c>
    </row>
    <row r="679" spans="1:10" x14ac:dyDescent="0.3">
      <c r="A679" s="15">
        <v>45901</v>
      </c>
      <c r="B679" s="17" t="s">
        <v>62</v>
      </c>
      <c r="C679" s="3" t="s">
        <v>3</v>
      </c>
      <c r="D679" s="3" t="str">
        <f>VLOOKUP(C679, Ref_Department!$A$2:$D$6, 2, FALSE)</f>
        <v>Information Technology</v>
      </c>
      <c r="E679" s="3" t="s">
        <v>7</v>
      </c>
      <c r="F679" s="3" t="str">
        <f>VLOOKUP(E679, Ref_GLAccount!$A$2:$D$9, 2, FALSE)</f>
        <v>Occupancy &amp; Facilities</v>
      </c>
      <c r="G679" s="3" t="str">
        <f>VLOOKUP(E679, Ref_GLAccount!$A$2:$D$9, 3, FALSE)</f>
        <v>Facilities</v>
      </c>
      <c r="H679" s="6" t="s">
        <v>70</v>
      </c>
      <c r="I679" s="7">
        <v>9000</v>
      </c>
      <c r="J679" s="18" t="b">
        <f>IF(tblFactFinance[[#This Row],[MonthStart]] &lt;= Inputs!$B$1, TRUE, FALSE)</f>
        <v>1</v>
      </c>
    </row>
    <row r="680" spans="1:10" x14ac:dyDescent="0.3">
      <c r="A680" s="15">
        <v>45901</v>
      </c>
      <c r="B680" s="17" t="s">
        <v>62</v>
      </c>
      <c r="C680" s="3" t="s">
        <v>3</v>
      </c>
      <c r="D680" s="3" t="str">
        <f>VLOOKUP(C680, Ref_Department!$A$2:$D$6, 2, FALSE)</f>
        <v>Information Technology</v>
      </c>
      <c r="E680" s="3" t="s">
        <v>8</v>
      </c>
      <c r="F680" s="3" t="str">
        <f>VLOOKUP(E680, Ref_GLAccount!$A$2:$D$9, 2, FALSE)</f>
        <v>IT Software &amp; Subscriptions</v>
      </c>
      <c r="G680" s="3" t="str">
        <f>VLOOKUP(E680, Ref_GLAccount!$A$2:$D$9, 3, FALSE)</f>
        <v>IT</v>
      </c>
      <c r="H680" s="6" t="s">
        <v>66</v>
      </c>
      <c r="I680" s="7">
        <v>44048.05</v>
      </c>
      <c r="J680" s="18" t="b">
        <f>IF(tblFactFinance[[#This Row],[MonthStart]] &lt;= Inputs!$B$1, TRUE, FALSE)</f>
        <v>1</v>
      </c>
    </row>
    <row r="681" spans="1:10" x14ac:dyDescent="0.3">
      <c r="A681" s="15">
        <v>45901</v>
      </c>
      <c r="B681" s="17" t="s">
        <v>62</v>
      </c>
      <c r="C681" s="3" t="s">
        <v>3</v>
      </c>
      <c r="D681" s="3" t="str">
        <f>VLOOKUP(C681, Ref_Department!$A$2:$D$6, 2, FALSE)</f>
        <v>Information Technology</v>
      </c>
      <c r="E681" s="3" t="s">
        <v>8</v>
      </c>
      <c r="F681" s="3" t="str">
        <f>VLOOKUP(E681, Ref_GLAccount!$A$2:$D$9, 2, FALSE)</f>
        <v>IT Software &amp; Subscriptions</v>
      </c>
      <c r="G681" s="3" t="str">
        <f>VLOOKUP(E681, Ref_GLAccount!$A$2:$D$9, 3, FALSE)</f>
        <v>IT</v>
      </c>
      <c r="H681" s="6" t="s">
        <v>70</v>
      </c>
      <c r="I681" s="7">
        <v>43680</v>
      </c>
      <c r="J681" s="18" t="b">
        <f>IF(tblFactFinance[[#This Row],[MonthStart]] &lt;= Inputs!$B$1, TRUE, FALSE)</f>
        <v>1</v>
      </c>
    </row>
    <row r="682" spans="1:10" x14ac:dyDescent="0.3">
      <c r="A682" s="15">
        <v>45901</v>
      </c>
      <c r="B682" s="17" t="s">
        <v>62</v>
      </c>
      <c r="C682" s="3" t="s">
        <v>3</v>
      </c>
      <c r="D682" s="3" t="str">
        <f>VLOOKUP(C682, Ref_Department!$A$2:$D$6, 2, FALSE)</f>
        <v>Information Technology</v>
      </c>
      <c r="E682" s="3" t="s">
        <v>9</v>
      </c>
      <c r="F682" s="3" t="str">
        <f>VLOOKUP(E682, Ref_GLAccount!$A$2:$D$9, 2, FALSE)</f>
        <v>Marketing &amp; Advertising</v>
      </c>
      <c r="G682" s="3" t="str">
        <f>VLOOKUP(E682, Ref_GLAccount!$A$2:$D$9, 3, FALSE)</f>
        <v>Marketing</v>
      </c>
      <c r="H682" s="6" t="s">
        <v>66</v>
      </c>
      <c r="I682" s="7">
        <v>2044.39</v>
      </c>
      <c r="J682" s="18" t="b">
        <f>IF(tblFactFinance[[#This Row],[MonthStart]] &lt;= Inputs!$B$1, TRUE, FALSE)</f>
        <v>1</v>
      </c>
    </row>
    <row r="683" spans="1:10" x14ac:dyDescent="0.3">
      <c r="A683" s="15">
        <v>45901</v>
      </c>
      <c r="B683" s="17" t="s">
        <v>62</v>
      </c>
      <c r="C683" s="3" t="s">
        <v>3</v>
      </c>
      <c r="D683" s="3" t="str">
        <f>VLOOKUP(C683, Ref_Department!$A$2:$D$6, 2, FALSE)</f>
        <v>Information Technology</v>
      </c>
      <c r="E683" s="3" t="s">
        <v>9</v>
      </c>
      <c r="F683" s="3" t="str">
        <f>VLOOKUP(E683, Ref_GLAccount!$A$2:$D$9, 2, FALSE)</f>
        <v>Marketing &amp; Advertising</v>
      </c>
      <c r="G683" s="3" t="str">
        <f>VLOOKUP(E683, Ref_GLAccount!$A$2:$D$9, 3, FALSE)</f>
        <v>Marketing</v>
      </c>
      <c r="H683" s="6" t="s">
        <v>70</v>
      </c>
      <c r="I683" s="7">
        <v>2028</v>
      </c>
      <c r="J683" s="18" t="b">
        <f>IF(tblFactFinance[[#This Row],[MonthStart]] &lt;= Inputs!$B$1, TRUE, FALSE)</f>
        <v>1</v>
      </c>
    </row>
    <row r="684" spans="1:10" x14ac:dyDescent="0.3">
      <c r="A684" s="15">
        <v>45901</v>
      </c>
      <c r="B684" s="17" t="s">
        <v>62</v>
      </c>
      <c r="C684" s="3" t="s">
        <v>3</v>
      </c>
      <c r="D684" s="3" t="str">
        <f>VLOOKUP(C684, Ref_Department!$A$2:$D$6, 2, FALSE)</f>
        <v>Information Technology</v>
      </c>
      <c r="E684" s="3" t="s">
        <v>10</v>
      </c>
      <c r="F684" s="3" t="str">
        <f>VLOOKUP(E684, Ref_GLAccount!$A$2:$D$9, 2, FALSE)</f>
        <v>Professional Services</v>
      </c>
      <c r="G684" s="3" t="str">
        <f>VLOOKUP(E684, Ref_GLAccount!$A$2:$D$9, 3, FALSE)</f>
        <v>Professional Services</v>
      </c>
      <c r="H684" s="6" t="s">
        <v>66</v>
      </c>
      <c r="I684" s="7">
        <v>12135.7</v>
      </c>
      <c r="J684" s="18" t="b">
        <f>IF(tblFactFinance[[#This Row],[MonthStart]] &lt;= Inputs!$B$1, TRUE, FALSE)</f>
        <v>1</v>
      </c>
    </row>
    <row r="685" spans="1:10" x14ac:dyDescent="0.3">
      <c r="A685" s="15">
        <v>45901</v>
      </c>
      <c r="B685" s="17" t="s">
        <v>62</v>
      </c>
      <c r="C685" s="3" t="s">
        <v>3</v>
      </c>
      <c r="D685" s="3" t="str">
        <f>VLOOKUP(C685, Ref_Department!$A$2:$D$6, 2, FALSE)</f>
        <v>Information Technology</v>
      </c>
      <c r="E685" s="3" t="s">
        <v>10</v>
      </c>
      <c r="F685" s="3" t="str">
        <f>VLOOKUP(E685, Ref_GLAccount!$A$2:$D$9, 2, FALSE)</f>
        <v>Professional Services</v>
      </c>
      <c r="G685" s="3" t="str">
        <f>VLOOKUP(E685, Ref_GLAccount!$A$2:$D$9, 3, FALSE)</f>
        <v>Professional Services</v>
      </c>
      <c r="H685" s="6" t="s">
        <v>70</v>
      </c>
      <c r="I685" s="7">
        <v>12480</v>
      </c>
      <c r="J685" s="18" t="b">
        <f>IF(tblFactFinance[[#This Row],[MonthStart]] &lt;= Inputs!$B$1, TRUE, FALSE)</f>
        <v>1</v>
      </c>
    </row>
    <row r="686" spans="1:10" x14ac:dyDescent="0.3">
      <c r="A686" s="15">
        <v>45901</v>
      </c>
      <c r="B686" s="17" t="s">
        <v>62</v>
      </c>
      <c r="C686" s="3" t="s">
        <v>3</v>
      </c>
      <c r="D686" s="3" t="str">
        <f>VLOOKUP(C686, Ref_Department!$A$2:$D$6, 2, FALSE)</f>
        <v>Information Technology</v>
      </c>
      <c r="E686" s="3" t="s">
        <v>11</v>
      </c>
      <c r="F686" s="3" t="str">
        <f>VLOOKUP(E686, Ref_GLAccount!$A$2:$D$9, 2, FALSE)</f>
        <v>Office Supplies</v>
      </c>
      <c r="G686" s="3" t="str">
        <f>VLOOKUP(E686, Ref_GLAccount!$A$2:$D$9, 3, FALSE)</f>
        <v>Other OPEX</v>
      </c>
      <c r="H686" s="6" t="s">
        <v>66</v>
      </c>
      <c r="I686" s="7">
        <v>853.56</v>
      </c>
      <c r="J686" s="18" t="b">
        <f>IF(tblFactFinance[[#This Row],[MonthStart]] &lt;= Inputs!$B$1, TRUE, FALSE)</f>
        <v>1</v>
      </c>
    </row>
    <row r="687" spans="1:10" x14ac:dyDescent="0.3">
      <c r="A687" s="15">
        <v>45901</v>
      </c>
      <c r="B687" s="17" t="s">
        <v>62</v>
      </c>
      <c r="C687" s="3" t="s">
        <v>3</v>
      </c>
      <c r="D687" s="3" t="str">
        <f>VLOOKUP(C687, Ref_Department!$A$2:$D$6, 2, FALSE)</f>
        <v>Information Technology</v>
      </c>
      <c r="E687" s="3" t="s">
        <v>11</v>
      </c>
      <c r="F687" s="3" t="str">
        <f>VLOOKUP(E687, Ref_GLAccount!$A$2:$D$9, 2, FALSE)</f>
        <v>Office Supplies</v>
      </c>
      <c r="G687" s="3" t="str">
        <f>VLOOKUP(E687, Ref_GLAccount!$A$2:$D$9, 3, FALSE)</f>
        <v>Other OPEX</v>
      </c>
      <c r="H687" s="6" t="s">
        <v>70</v>
      </c>
      <c r="I687" s="7">
        <v>832</v>
      </c>
      <c r="J687" s="18" t="b">
        <f>IF(tblFactFinance[[#This Row],[MonthStart]] &lt;= Inputs!$B$1, TRUE, FALSE)</f>
        <v>1</v>
      </c>
    </row>
    <row r="688" spans="1:10" x14ac:dyDescent="0.3">
      <c r="A688" s="15">
        <v>45901</v>
      </c>
      <c r="B688" s="17" t="s">
        <v>62</v>
      </c>
      <c r="C688" s="3" t="s">
        <v>3</v>
      </c>
      <c r="D688" s="3" t="str">
        <f>VLOOKUP(C688, Ref_Department!$A$2:$D$6, 2, FALSE)</f>
        <v>Information Technology</v>
      </c>
      <c r="E688" s="3" t="s">
        <v>12</v>
      </c>
      <c r="F688" s="3" t="str">
        <f>VLOOKUP(E688, Ref_GLAccount!$A$2:$D$9, 2, FALSE)</f>
        <v>Training &amp; Development</v>
      </c>
      <c r="G688" s="3" t="str">
        <f>VLOOKUP(E688, Ref_GLAccount!$A$2:$D$9, 3, FALSE)</f>
        <v>Other OPEX</v>
      </c>
      <c r="H688" s="6" t="s">
        <v>66</v>
      </c>
      <c r="I688" s="7">
        <v>1879.27</v>
      </c>
      <c r="J688" s="18" t="b">
        <f>IF(tblFactFinance[[#This Row],[MonthStart]] &lt;= Inputs!$B$1, TRUE, FALSE)</f>
        <v>1</v>
      </c>
    </row>
    <row r="689" spans="1:10" x14ac:dyDescent="0.3">
      <c r="A689" s="15">
        <v>45901</v>
      </c>
      <c r="B689" s="17" t="s">
        <v>62</v>
      </c>
      <c r="C689" s="3" t="s">
        <v>3</v>
      </c>
      <c r="D689" s="3" t="str">
        <f>VLOOKUP(C689, Ref_Department!$A$2:$D$6, 2, FALSE)</f>
        <v>Information Technology</v>
      </c>
      <c r="E689" s="3" t="s">
        <v>12</v>
      </c>
      <c r="F689" s="3" t="str">
        <f>VLOOKUP(E689, Ref_GLAccount!$A$2:$D$9, 2, FALSE)</f>
        <v>Training &amp; Development</v>
      </c>
      <c r="G689" s="3" t="str">
        <f>VLOOKUP(E689, Ref_GLAccount!$A$2:$D$9, 3, FALSE)</f>
        <v>Other OPEX</v>
      </c>
      <c r="H689" s="6" t="s">
        <v>70</v>
      </c>
      <c r="I689" s="7">
        <v>1872</v>
      </c>
      <c r="J689" s="18" t="b">
        <f>IF(tblFactFinance[[#This Row],[MonthStart]] &lt;= Inputs!$B$1, TRUE, FALSE)</f>
        <v>1</v>
      </c>
    </row>
    <row r="690" spans="1:10" x14ac:dyDescent="0.3">
      <c r="A690" s="15">
        <v>45901</v>
      </c>
      <c r="B690" s="17" t="s">
        <v>62</v>
      </c>
      <c r="C690" s="3" t="s">
        <v>4</v>
      </c>
      <c r="D690" s="3" t="str">
        <f>VLOOKUP(C690, Ref_Department!$A$2:$D$6, 2, FALSE)</f>
        <v>Marketing</v>
      </c>
      <c r="E690" s="3" t="s">
        <v>33</v>
      </c>
      <c r="F690" s="3" t="str">
        <f>VLOOKUP(E690, Ref_GLAccount!$A$2:$D$9, 2, FALSE)</f>
        <v>Salaries</v>
      </c>
      <c r="G690" s="3" t="str">
        <f>VLOOKUP(E690, Ref_GLAccount!$A$2:$D$9, 3, FALSE)</f>
        <v>Personnel</v>
      </c>
      <c r="H690" s="6" t="s">
        <v>66</v>
      </c>
      <c r="I690" s="7">
        <v>61944.800000000003</v>
      </c>
      <c r="J690" s="18" t="b">
        <f>IF(tblFactFinance[[#This Row],[MonthStart]] &lt;= Inputs!$B$1, TRUE, FALSE)</f>
        <v>1</v>
      </c>
    </row>
    <row r="691" spans="1:10" x14ac:dyDescent="0.3">
      <c r="A691" s="15">
        <v>45901</v>
      </c>
      <c r="B691" s="17" t="s">
        <v>62</v>
      </c>
      <c r="C691" s="3" t="s">
        <v>4</v>
      </c>
      <c r="D691" s="3" t="str">
        <f>VLOOKUP(C691, Ref_Department!$A$2:$D$6, 2, FALSE)</f>
        <v>Marketing</v>
      </c>
      <c r="E691" s="3" t="s">
        <v>33</v>
      </c>
      <c r="F691" s="3" t="str">
        <f>VLOOKUP(E691, Ref_GLAccount!$A$2:$D$9, 2, FALSE)</f>
        <v>Salaries</v>
      </c>
      <c r="G691" s="3" t="str">
        <f>VLOOKUP(E691, Ref_GLAccount!$A$2:$D$9, 3, FALSE)</f>
        <v>Personnel</v>
      </c>
      <c r="H691" s="6" t="s">
        <v>70</v>
      </c>
      <c r="I691" s="7">
        <v>64375</v>
      </c>
      <c r="J691" s="18" t="b">
        <f>IF(tblFactFinance[[#This Row],[MonthStart]] &lt;= Inputs!$B$1, TRUE, FALSE)</f>
        <v>1</v>
      </c>
    </row>
    <row r="692" spans="1:10" x14ac:dyDescent="0.3">
      <c r="A692" s="15">
        <v>45901</v>
      </c>
      <c r="B692" s="17" t="s">
        <v>62</v>
      </c>
      <c r="C692" s="3" t="s">
        <v>4</v>
      </c>
      <c r="D692" s="3" t="str">
        <f>VLOOKUP(C692, Ref_Department!$A$2:$D$6, 2, FALSE)</f>
        <v>Marketing</v>
      </c>
      <c r="E692" s="3" t="s">
        <v>37</v>
      </c>
      <c r="F692" s="3" t="str">
        <f>VLOOKUP(E692, Ref_GLAccount!$A$2:$D$9, 2, FALSE)</f>
        <v>Benefits</v>
      </c>
      <c r="G692" s="3" t="str">
        <f>VLOOKUP(E692, Ref_GLAccount!$A$2:$D$9, 3, FALSE)</f>
        <v>Personnel</v>
      </c>
      <c r="H692" s="6" t="s">
        <v>66</v>
      </c>
      <c r="I692" s="7">
        <v>15160.68</v>
      </c>
      <c r="J692" s="18" t="b">
        <f>IF(tblFactFinance[[#This Row],[MonthStart]] &lt;= Inputs!$B$1, TRUE, FALSE)</f>
        <v>1</v>
      </c>
    </row>
    <row r="693" spans="1:10" x14ac:dyDescent="0.3">
      <c r="A693" s="15">
        <v>45901</v>
      </c>
      <c r="B693" s="17" t="s">
        <v>62</v>
      </c>
      <c r="C693" s="3" t="s">
        <v>4</v>
      </c>
      <c r="D693" s="3" t="str">
        <f>VLOOKUP(C693, Ref_Department!$A$2:$D$6, 2, FALSE)</f>
        <v>Marketing</v>
      </c>
      <c r="E693" s="3" t="s">
        <v>37</v>
      </c>
      <c r="F693" s="3" t="str">
        <f>VLOOKUP(E693, Ref_GLAccount!$A$2:$D$9, 2, FALSE)</f>
        <v>Benefits</v>
      </c>
      <c r="G693" s="3" t="str">
        <f>VLOOKUP(E693, Ref_GLAccount!$A$2:$D$9, 3, FALSE)</f>
        <v>Personnel</v>
      </c>
      <c r="H693" s="6" t="s">
        <v>70</v>
      </c>
      <c r="I693" s="7">
        <v>14162.5</v>
      </c>
      <c r="J693" s="18" t="b">
        <f>IF(tblFactFinance[[#This Row],[MonthStart]] &lt;= Inputs!$B$1, TRUE, FALSE)</f>
        <v>1</v>
      </c>
    </row>
    <row r="694" spans="1:10" x14ac:dyDescent="0.3">
      <c r="A694" s="15">
        <v>45901</v>
      </c>
      <c r="B694" s="17" t="s">
        <v>62</v>
      </c>
      <c r="C694" s="3" t="s">
        <v>4</v>
      </c>
      <c r="D694" s="3" t="str">
        <f>VLOOKUP(C694, Ref_Department!$A$2:$D$6, 2, FALSE)</f>
        <v>Marketing</v>
      </c>
      <c r="E694" s="3" t="s">
        <v>7</v>
      </c>
      <c r="F694" s="3" t="str">
        <f>VLOOKUP(E694, Ref_GLAccount!$A$2:$D$9, 2, FALSE)</f>
        <v>Occupancy &amp; Facilities</v>
      </c>
      <c r="G694" s="3" t="str">
        <f>VLOOKUP(E694, Ref_GLAccount!$A$2:$D$9, 3, FALSE)</f>
        <v>Facilities</v>
      </c>
      <c r="H694" s="6" t="s">
        <v>66</v>
      </c>
      <c r="I694" s="7">
        <v>6189.99</v>
      </c>
      <c r="J694" s="18" t="b">
        <f>IF(tblFactFinance[[#This Row],[MonthStart]] &lt;= Inputs!$B$1, TRUE, FALSE)</f>
        <v>1</v>
      </c>
    </row>
    <row r="695" spans="1:10" x14ac:dyDescent="0.3">
      <c r="A695" s="15">
        <v>45901</v>
      </c>
      <c r="B695" s="17" t="s">
        <v>62</v>
      </c>
      <c r="C695" s="3" t="s">
        <v>4</v>
      </c>
      <c r="D695" s="3" t="str">
        <f>VLOOKUP(C695, Ref_Department!$A$2:$D$6, 2, FALSE)</f>
        <v>Marketing</v>
      </c>
      <c r="E695" s="3" t="s">
        <v>7</v>
      </c>
      <c r="F695" s="3" t="str">
        <f>VLOOKUP(E695, Ref_GLAccount!$A$2:$D$9, 2, FALSE)</f>
        <v>Occupancy &amp; Facilities</v>
      </c>
      <c r="G695" s="3" t="str">
        <f>VLOOKUP(E695, Ref_GLAccount!$A$2:$D$9, 3, FALSE)</f>
        <v>Facilities</v>
      </c>
      <c r="H695" s="6" t="s">
        <v>70</v>
      </c>
      <c r="I695" s="7">
        <v>6000</v>
      </c>
      <c r="J695" s="18" t="b">
        <f>IF(tblFactFinance[[#This Row],[MonthStart]] &lt;= Inputs!$B$1, TRUE, FALSE)</f>
        <v>1</v>
      </c>
    </row>
    <row r="696" spans="1:10" x14ac:dyDescent="0.3">
      <c r="A696" s="15">
        <v>45901</v>
      </c>
      <c r="B696" s="17" t="s">
        <v>62</v>
      </c>
      <c r="C696" s="3" t="s">
        <v>4</v>
      </c>
      <c r="D696" s="3" t="str">
        <f>VLOOKUP(C696, Ref_Department!$A$2:$D$6, 2, FALSE)</f>
        <v>Marketing</v>
      </c>
      <c r="E696" s="3" t="s">
        <v>8</v>
      </c>
      <c r="F696" s="3" t="str">
        <f>VLOOKUP(E696, Ref_GLAccount!$A$2:$D$9, 2, FALSE)</f>
        <v>IT Software &amp; Subscriptions</v>
      </c>
      <c r="G696" s="3" t="str">
        <f>VLOOKUP(E696, Ref_GLAccount!$A$2:$D$9, 3, FALSE)</f>
        <v>IT</v>
      </c>
      <c r="H696" s="6" t="s">
        <v>66</v>
      </c>
      <c r="I696" s="7">
        <v>7231.34</v>
      </c>
      <c r="J696" s="18" t="b">
        <f>IF(tblFactFinance[[#This Row],[MonthStart]] &lt;= Inputs!$B$1, TRUE, FALSE)</f>
        <v>1</v>
      </c>
    </row>
    <row r="697" spans="1:10" x14ac:dyDescent="0.3">
      <c r="A697" s="15">
        <v>45901</v>
      </c>
      <c r="B697" s="17" t="s">
        <v>62</v>
      </c>
      <c r="C697" s="3" t="s">
        <v>4</v>
      </c>
      <c r="D697" s="3" t="str">
        <f>VLOOKUP(C697, Ref_Department!$A$2:$D$6, 2, FALSE)</f>
        <v>Marketing</v>
      </c>
      <c r="E697" s="3" t="s">
        <v>8</v>
      </c>
      <c r="F697" s="3" t="str">
        <f>VLOOKUP(E697, Ref_GLAccount!$A$2:$D$9, 2, FALSE)</f>
        <v>IT Software &amp; Subscriptions</v>
      </c>
      <c r="G697" s="3" t="str">
        <f>VLOOKUP(E697, Ref_GLAccount!$A$2:$D$9, 3, FALSE)</f>
        <v>IT</v>
      </c>
      <c r="H697" s="6" t="s">
        <v>70</v>
      </c>
      <c r="I697" s="7">
        <v>7280</v>
      </c>
      <c r="J697" s="18" t="b">
        <f>IF(tblFactFinance[[#This Row],[MonthStart]] &lt;= Inputs!$B$1, TRUE, FALSE)</f>
        <v>1</v>
      </c>
    </row>
    <row r="698" spans="1:10" x14ac:dyDescent="0.3">
      <c r="A698" s="15">
        <v>45901</v>
      </c>
      <c r="B698" s="17" t="s">
        <v>62</v>
      </c>
      <c r="C698" s="3" t="s">
        <v>4</v>
      </c>
      <c r="D698" s="3" t="str">
        <f>VLOOKUP(C698, Ref_Department!$A$2:$D$6, 2, FALSE)</f>
        <v>Marketing</v>
      </c>
      <c r="E698" s="3" t="s">
        <v>9</v>
      </c>
      <c r="F698" s="3" t="str">
        <f>VLOOKUP(E698, Ref_GLAccount!$A$2:$D$9, 2, FALSE)</f>
        <v>Marketing &amp; Advertising</v>
      </c>
      <c r="G698" s="3" t="str">
        <f>VLOOKUP(E698, Ref_GLAccount!$A$2:$D$9, 3, FALSE)</f>
        <v>Marketing</v>
      </c>
      <c r="H698" s="6" t="s">
        <v>66</v>
      </c>
      <c r="I698" s="7">
        <v>36891.919999999998</v>
      </c>
      <c r="J698" s="18" t="b">
        <f>IF(tblFactFinance[[#This Row],[MonthStart]] &lt;= Inputs!$B$1, TRUE, FALSE)</f>
        <v>1</v>
      </c>
    </row>
    <row r="699" spans="1:10" x14ac:dyDescent="0.3">
      <c r="A699" s="15">
        <v>45901</v>
      </c>
      <c r="B699" s="17" t="s">
        <v>62</v>
      </c>
      <c r="C699" s="3" t="s">
        <v>4</v>
      </c>
      <c r="D699" s="3" t="str">
        <f>VLOOKUP(C699, Ref_Department!$A$2:$D$6, 2, FALSE)</f>
        <v>Marketing</v>
      </c>
      <c r="E699" s="3" t="s">
        <v>9</v>
      </c>
      <c r="F699" s="3" t="str">
        <f>VLOOKUP(E699, Ref_GLAccount!$A$2:$D$9, 2, FALSE)</f>
        <v>Marketing &amp; Advertising</v>
      </c>
      <c r="G699" s="3" t="str">
        <f>VLOOKUP(E699, Ref_GLAccount!$A$2:$D$9, 3, FALSE)</f>
        <v>Marketing</v>
      </c>
      <c r="H699" s="6" t="s">
        <v>70</v>
      </c>
      <c r="I699" s="7">
        <v>37856</v>
      </c>
      <c r="J699" s="18" t="b">
        <f>IF(tblFactFinance[[#This Row],[MonthStart]] &lt;= Inputs!$B$1, TRUE, FALSE)</f>
        <v>1</v>
      </c>
    </row>
    <row r="700" spans="1:10" x14ac:dyDescent="0.3">
      <c r="A700" s="15">
        <v>45901</v>
      </c>
      <c r="B700" s="17" t="s">
        <v>62</v>
      </c>
      <c r="C700" s="3" t="s">
        <v>4</v>
      </c>
      <c r="D700" s="3" t="str">
        <f>VLOOKUP(C700, Ref_Department!$A$2:$D$6, 2, FALSE)</f>
        <v>Marketing</v>
      </c>
      <c r="E700" s="3" t="s">
        <v>10</v>
      </c>
      <c r="F700" s="3" t="str">
        <f>VLOOKUP(E700, Ref_GLAccount!$A$2:$D$9, 2, FALSE)</f>
        <v>Professional Services</v>
      </c>
      <c r="G700" s="3" t="str">
        <f>VLOOKUP(E700, Ref_GLAccount!$A$2:$D$9, 3, FALSE)</f>
        <v>Professional Services</v>
      </c>
      <c r="H700" s="6" t="s">
        <v>66</v>
      </c>
      <c r="I700" s="7">
        <v>6044.22</v>
      </c>
      <c r="J700" s="18" t="b">
        <f>IF(tblFactFinance[[#This Row],[MonthStart]] &lt;= Inputs!$B$1, TRUE, FALSE)</f>
        <v>1</v>
      </c>
    </row>
    <row r="701" spans="1:10" x14ac:dyDescent="0.3">
      <c r="A701" s="15">
        <v>45901</v>
      </c>
      <c r="B701" s="17" t="s">
        <v>62</v>
      </c>
      <c r="C701" s="3" t="s">
        <v>4</v>
      </c>
      <c r="D701" s="3" t="str">
        <f>VLOOKUP(C701, Ref_Department!$A$2:$D$6, 2, FALSE)</f>
        <v>Marketing</v>
      </c>
      <c r="E701" s="3" t="s">
        <v>10</v>
      </c>
      <c r="F701" s="3" t="str">
        <f>VLOOKUP(E701, Ref_GLAccount!$A$2:$D$9, 2, FALSE)</f>
        <v>Professional Services</v>
      </c>
      <c r="G701" s="3" t="str">
        <f>VLOOKUP(E701, Ref_GLAccount!$A$2:$D$9, 3, FALSE)</f>
        <v>Professional Services</v>
      </c>
      <c r="H701" s="6" t="s">
        <v>70</v>
      </c>
      <c r="I701" s="7">
        <v>6240</v>
      </c>
      <c r="J701" s="18" t="b">
        <f>IF(tblFactFinance[[#This Row],[MonthStart]] &lt;= Inputs!$B$1, TRUE, FALSE)</f>
        <v>1</v>
      </c>
    </row>
    <row r="702" spans="1:10" x14ac:dyDescent="0.3">
      <c r="A702" s="15">
        <v>45901</v>
      </c>
      <c r="B702" s="17" t="s">
        <v>62</v>
      </c>
      <c r="C702" s="3" t="s">
        <v>4</v>
      </c>
      <c r="D702" s="3" t="str">
        <f>VLOOKUP(C702, Ref_Department!$A$2:$D$6, 2, FALSE)</f>
        <v>Marketing</v>
      </c>
      <c r="E702" s="3" t="s">
        <v>11</v>
      </c>
      <c r="F702" s="3" t="str">
        <f>VLOOKUP(E702, Ref_GLAccount!$A$2:$D$9, 2, FALSE)</f>
        <v>Office Supplies</v>
      </c>
      <c r="G702" s="3" t="str">
        <f>VLOOKUP(E702, Ref_GLAccount!$A$2:$D$9, 3, FALSE)</f>
        <v>Other OPEX</v>
      </c>
      <c r="H702" s="6" t="s">
        <v>66</v>
      </c>
      <c r="I702" s="7">
        <v>763.85</v>
      </c>
      <c r="J702" s="18" t="b">
        <f>IF(tblFactFinance[[#This Row],[MonthStart]] &lt;= Inputs!$B$1, TRUE, FALSE)</f>
        <v>1</v>
      </c>
    </row>
    <row r="703" spans="1:10" x14ac:dyDescent="0.3">
      <c r="A703" s="15">
        <v>45901</v>
      </c>
      <c r="B703" s="17" t="s">
        <v>62</v>
      </c>
      <c r="C703" s="3" t="s">
        <v>4</v>
      </c>
      <c r="D703" s="3" t="str">
        <f>VLOOKUP(C703, Ref_Department!$A$2:$D$6, 2, FALSE)</f>
        <v>Marketing</v>
      </c>
      <c r="E703" s="3" t="s">
        <v>11</v>
      </c>
      <c r="F703" s="3" t="str">
        <f>VLOOKUP(E703, Ref_GLAccount!$A$2:$D$9, 2, FALSE)</f>
        <v>Office Supplies</v>
      </c>
      <c r="G703" s="3" t="str">
        <f>VLOOKUP(E703, Ref_GLAccount!$A$2:$D$9, 3, FALSE)</f>
        <v>Other OPEX</v>
      </c>
      <c r="H703" s="6" t="s">
        <v>70</v>
      </c>
      <c r="I703" s="7">
        <v>728</v>
      </c>
      <c r="J703" s="18" t="b">
        <f>IF(tblFactFinance[[#This Row],[MonthStart]] &lt;= Inputs!$B$1, TRUE, FALSE)</f>
        <v>1</v>
      </c>
    </row>
    <row r="704" spans="1:10" x14ac:dyDescent="0.3">
      <c r="A704" s="15">
        <v>45901</v>
      </c>
      <c r="B704" s="17" t="s">
        <v>62</v>
      </c>
      <c r="C704" s="3" t="s">
        <v>4</v>
      </c>
      <c r="D704" s="3" t="str">
        <f>VLOOKUP(C704, Ref_Department!$A$2:$D$6, 2, FALSE)</f>
        <v>Marketing</v>
      </c>
      <c r="E704" s="3" t="s">
        <v>12</v>
      </c>
      <c r="F704" s="3" t="str">
        <f>VLOOKUP(E704, Ref_GLAccount!$A$2:$D$9, 2, FALSE)</f>
        <v>Training &amp; Development</v>
      </c>
      <c r="G704" s="3" t="str">
        <f>VLOOKUP(E704, Ref_GLAccount!$A$2:$D$9, 3, FALSE)</f>
        <v>Other OPEX</v>
      </c>
      <c r="H704" s="6" t="s">
        <v>66</v>
      </c>
      <c r="I704" s="7">
        <v>1137.3</v>
      </c>
      <c r="J704" s="18" t="b">
        <f>IF(tblFactFinance[[#This Row],[MonthStart]] &lt;= Inputs!$B$1, TRUE, FALSE)</f>
        <v>1</v>
      </c>
    </row>
    <row r="705" spans="1:10" x14ac:dyDescent="0.3">
      <c r="A705" s="15">
        <v>45901</v>
      </c>
      <c r="B705" s="17" t="s">
        <v>62</v>
      </c>
      <c r="C705" s="3" t="s">
        <v>4</v>
      </c>
      <c r="D705" s="3" t="str">
        <f>VLOOKUP(C705, Ref_Department!$A$2:$D$6, 2, FALSE)</f>
        <v>Marketing</v>
      </c>
      <c r="E705" s="3" t="s">
        <v>12</v>
      </c>
      <c r="F705" s="3" t="str">
        <f>VLOOKUP(E705, Ref_GLAccount!$A$2:$D$9, 2, FALSE)</f>
        <v>Training &amp; Development</v>
      </c>
      <c r="G705" s="3" t="str">
        <f>VLOOKUP(E705, Ref_GLAccount!$A$2:$D$9, 3, FALSE)</f>
        <v>Other OPEX</v>
      </c>
      <c r="H705" s="6" t="s">
        <v>70</v>
      </c>
      <c r="I705" s="7">
        <v>1144</v>
      </c>
      <c r="J705" s="18" t="b">
        <f>IF(tblFactFinance[[#This Row],[MonthStart]] &lt;= Inputs!$B$1, TRUE, FALSE)</f>
        <v>1</v>
      </c>
    </row>
    <row r="706" spans="1:10" x14ac:dyDescent="0.3">
      <c r="A706" s="15">
        <v>45901</v>
      </c>
      <c r="B706" s="17" t="s">
        <v>62</v>
      </c>
      <c r="C706" s="3" t="s">
        <v>5</v>
      </c>
      <c r="D706" s="3" t="str">
        <f>VLOOKUP(C706, Ref_Department!$A$2:$D$6, 2, FALSE)</f>
        <v>Human Resources</v>
      </c>
      <c r="E706" s="3" t="s">
        <v>33</v>
      </c>
      <c r="F706" s="3" t="str">
        <f>VLOOKUP(E706, Ref_GLAccount!$A$2:$D$9, 2, FALSE)</f>
        <v>Salaries</v>
      </c>
      <c r="G706" s="3" t="str">
        <f>VLOOKUP(E706, Ref_GLAccount!$A$2:$D$9, 3, FALSE)</f>
        <v>Personnel</v>
      </c>
      <c r="H706" s="6" t="s">
        <v>66</v>
      </c>
      <c r="I706" s="7">
        <v>54544.3</v>
      </c>
      <c r="J706" s="18" t="b">
        <f>IF(tblFactFinance[[#This Row],[MonthStart]] &lt;= Inputs!$B$1, TRUE, FALSE)</f>
        <v>1</v>
      </c>
    </row>
    <row r="707" spans="1:10" x14ac:dyDescent="0.3">
      <c r="A707" s="15">
        <v>45901</v>
      </c>
      <c r="B707" s="17" t="s">
        <v>62</v>
      </c>
      <c r="C707" s="3" t="s">
        <v>5</v>
      </c>
      <c r="D707" s="3" t="str">
        <f>VLOOKUP(C707, Ref_Department!$A$2:$D$6, 2, FALSE)</f>
        <v>Human Resources</v>
      </c>
      <c r="E707" s="3" t="s">
        <v>33</v>
      </c>
      <c r="F707" s="3" t="str">
        <f>VLOOKUP(E707, Ref_GLAccount!$A$2:$D$9, 2, FALSE)</f>
        <v>Salaries</v>
      </c>
      <c r="G707" s="3" t="str">
        <f>VLOOKUP(E707, Ref_GLAccount!$A$2:$D$9, 3, FALSE)</f>
        <v>Personnel</v>
      </c>
      <c r="H707" s="6" t="s">
        <v>70</v>
      </c>
      <c r="I707" s="7">
        <v>53560</v>
      </c>
      <c r="J707" s="18" t="b">
        <f>IF(tblFactFinance[[#This Row],[MonthStart]] &lt;= Inputs!$B$1, TRUE, FALSE)</f>
        <v>1</v>
      </c>
    </row>
    <row r="708" spans="1:10" x14ac:dyDescent="0.3">
      <c r="A708" s="15">
        <v>45901</v>
      </c>
      <c r="B708" s="17" t="s">
        <v>62</v>
      </c>
      <c r="C708" s="3" t="s">
        <v>5</v>
      </c>
      <c r="D708" s="3" t="str">
        <f>VLOOKUP(C708, Ref_Department!$A$2:$D$6, 2, FALSE)</f>
        <v>Human Resources</v>
      </c>
      <c r="E708" s="3" t="s">
        <v>37</v>
      </c>
      <c r="F708" s="3" t="str">
        <f>VLOOKUP(E708, Ref_GLAccount!$A$2:$D$9, 2, FALSE)</f>
        <v>Benefits</v>
      </c>
      <c r="G708" s="3" t="str">
        <f>VLOOKUP(E708, Ref_GLAccount!$A$2:$D$9, 3, FALSE)</f>
        <v>Personnel</v>
      </c>
      <c r="H708" s="6" t="s">
        <v>66</v>
      </c>
      <c r="I708" s="7">
        <v>11696.26</v>
      </c>
      <c r="J708" s="18" t="b">
        <f>IF(tblFactFinance[[#This Row],[MonthStart]] &lt;= Inputs!$B$1, TRUE, FALSE)</f>
        <v>1</v>
      </c>
    </row>
    <row r="709" spans="1:10" x14ac:dyDescent="0.3">
      <c r="A709" s="15">
        <v>45901</v>
      </c>
      <c r="B709" s="17" t="s">
        <v>62</v>
      </c>
      <c r="C709" s="3" t="s">
        <v>5</v>
      </c>
      <c r="D709" s="3" t="str">
        <f>VLOOKUP(C709, Ref_Department!$A$2:$D$6, 2, FALSE)</f>
        <v>Human Resources</v>
      </c>
      <c r="E709" s="3" t="s">
        <v>37</v>
      </c>
      <c r="F709" s="3" t="str">
        <f>VLOOKUP(E709, Ref_GLAccount!$A$2:$D$9, 2, FALSE)</f>
        <v>Benefits</v>
      </c>
      <c r="G709" s="3" t="str">
        <f>VLOOKUP(E709, Ref_GLAccount!$A$2:$D$9, 3, FALSE)</f>
        <v>Personnel</v>
      </c>
      <c r="H709" s="6" t="s">
        <v>70</v>
      </c>
      <c r="I709" s="7">
        <v>11783.2</v>
      </c>
      <c r="J709" s="18" t="b">
        <f>IF(tblFactFinance[[#This Row],[MonthStart]] &lt;= Inputs!$B$1, TRUE, FALSE)</f>
        <v>1</v>
      </c>
    </row>
    <row r="710" spans="1:10" x14ac:dyDescent="0.3">
      <c r="A710" s="15">
        <v>45901</v>
      </c>
      <c r="B710" s="17" t="s">
        <v>62</v>
      </c>
      <c r="C710" s="3" t="s">
        <v>5</v>
      </c>
      <c r="D710" s="3" t="str">
        <f>VLOOKUP(C710, Ref_Department!$A$2:$D$6, 2, FALSE)</f>
        <v>Human Resources</v>
      </c>
      <c r="E710" s="3" t="s">
        <v>7</v>
      </c>
      <c r="F710" s="3" t="str">
        <f>VLOOKUP(E710, Ref_GLAccount!$A$2:$D$9, 2, FALSE)</f>
        <v>Occupancy &amp; Facilities</v>
      </c>
      <c r="G710" s="3" t="str">
        <f>VLOOKUP(E710, Ref_GLAccount!$A$2:$D$9, 3, FALSE)</f>
        <v>Facilities</v>
      </c>
      <c r="H710" s="6" t="s">
        <v>66</v>
      </c>
      <c r="I710" s="7">
        <v>4098.63</v>
      </c>
      <c r="J710" s="18" t="b">
        <f>IF(tblFactFinance[[#This Row],[MonthStart]] &lt;= Inputs!$B$1, TRUE, FALSE)</f>
        <v>1</v>
      </c>
    </row>
    <row r="711" spans="1:10" x14ac:dyDescent="0.3">
      <c r="A711" s="15">
        <v>45901</v>
      </c>
      <c r="B711" s="17" t="s">
        <v>62</v>
      </c>
      <c r="C711" s="3" t="s">
        <v>5</v>
      </c>
      <c r="D711" s="3" t="str">
        <f>VLOOKUP(C711, Ref_Department!$A$2:$D$6, 2, FALSE)</f>
        <v>Human Resources</v>
      </c>
      <c r="E711" s="3" t="s">
        <v>7</v>
      </c>
      <c r="F711" s="3" t="str">
        <f>VLOOKUP(E711, Ref_GLAccount!$A$2:$D$9, 2, FALSE)</f>
        <v>Occupancy &amp; Facilities</v>
      </c>
      <c r="G711" s="3" t="str">
        <f>VLOOKUP(E711, Ref_GLAccount!$A$2:$D$9, 3, FALSE)</f>
        <v>Facilities</v>
      </c>
      <c r="H711" s="6" t="s">
        <v>70</v>
      </c>
      <c r="I711" s="7">
        <v>4000</v>
      </c>
      <c r="J711" s="18" t="b">
        <f>IF(tblFactFinance[[#This Row],[MonthStart]] &lt;= Inputs!$B$1, TRUE, FALSE)</f>
        <v>1</v>
      </c>
    </row>
    <row r="712" spans="1:10" x14ac:dyDescent="0.3">
      <c r="A712" s="15">
        <v>45901</v>
      </c>
      <c r="B712" s="17" t="s">
        <v>62</v>
      </c>
      <c r="C712" s="3" t="s">
        <v>5</v>
      </c>
      <c r="D712" s="3" t="str">
        <f>VLOOKUP(C712, Ref_Department!$A$2:$D$6, 2, FALSE)</f>
        <v>Human Resources</v>
      </c>
      <c r="E712" s="3" t="s">
        <v>8</v>
      </c>
      <c r="F712" s="3" t="str">
        <f>VLOOKUP(E712, Ref_GLAccount!$A$2:$D$9, 2, FALSE)</f>
        <v>IT Software &amp; Subscriptions</v>
      </c>
      <c r="G712" s="3" t="str">
        <f>VLOOKUP(E712, Ref_GLAccount!$A$2:$D$9, 3, FALSE)</f>
        <v>IT</v>
      </c>
      <c r="H712" s="6" t="s">
        <v>66</v>
      </c>
      <c r="I712" s="7">
        <v>5175.88</v>
      </c>
      <c r="J712" s="18" t="b">
        <f>IF(tblFactFinance[[#This Row],[MonthStart]] &lt;= Inputs!$B$1, TRUE, FALSE)</f>
        <v>1</v>
      </c>
    </row>
    <row r="713" spans="1:10" x14ac:dyDescent="0.3">
      <c r="A713" s="15">
        <v>45901</v>
      </c>
      <c r="B713" s="17" t="s">
        <v>62</v>
      </c>
      <c r="C713" s="3" t="s">
        <v>5</v>
      </c>
      <c r="D713" s="3" t="str">
        <f>VLOOKUP(C713, Ref_Department!$A$2:$D$6, 2, FALSE)</f>
        <v>Human Resources</v>
      </c>
      <c r="E713" s="3" t="s">
        <v>8</v>
      </c>
      <c r="F713" s="3" t="str">
        <f>VLOOKUP(E713, Ref_GLAccount!$A$2:$D$9, 2, FALSE)</f>
        <v>IT Software &amp; Subscriptions</v>
      </c>
      <c r="G713" s="3" t="str">
        <f>VLOOKUP(E713, Ref_GLAccount!$A$2:$D$9, 3, FALSE)</f>
        <v>IT</v>
      </c>
      <c r="H713" s="6" t="s">
        <v>70</v>
      </c>
      <c r="I713" s="7">
        <v>5200</v>
      </c>
      <c r="J713" s="18" t="b">
        <f>IF(tblFactFinance[[#This Row],[MonthStart]] &lt;= Inputs!$B$1, TRUE, FALSE)</f>
        <v>1</v>
      </c>
    </row>
    <row r="714" spans="1:10" x14ac:dyDescent="0.3">
      <c r="A714" s="15">
        <v>45901</v>
      </c>
      <c r="B714" s="17" t="s">
        <v>62</v>
      </c>
      <c r="C714" s="3" t="s">
        <v>5</v>
      </c>
      <c r="D714" s="3" t="str">
        <f>VLOOKUP(C714, Ref_Department!$A$2:$D$6, 2, FALSE)</f>
        <v>Human Resources</v>
      </c>
      <c r="E714" s="3" t="s">
        <v>9</v>
      </c>
      <c r="F714" s="3" t="str">
        <f>VLOOKUP(E714, Ref_GLAccount!$A$2:$D$9, 2, FALSE)</f>
        <v>Marketing &amp; Advertising</v>
      </c>
      <c r="G714" s="3" t="str">
        <f>VLOOKUP(E714, Ref_GLAccount!$A$2:$D$9, 3, FALSE)</f>
        <v>Marketing</v>
      </c>
      <c r="H714" s="6" t="s">
        <v>66</v>
      </c>
      <c r="I714" s="7">
        <v>1671.97</v>
      </c>
      <c r="J714" s="18" t="b">
        <f>IF(tblFactFinance[[#This Row],[MonthStart]] &lt;= Inputs!$B$1, TRUE, FALSE)</f>
        <v>1</v>
      </c>
    </row>
    <row r="715" spans="1:10" x14ac:dyDescent="0.3">
      <c r="A715" s="15">
        <v>45901</v>
      </c>
      <c r="B715" s="17" t="s">
        <v>62</v>
      </c>
      <c r="C715" s="3" t="s">
        <v>5</v>
      </c>
      <c r="D715" s="3" t="str">
        <f>VLOOKUP(C715, Ref_Department!$A$2:$D$6, 2, FALSE)</f>
        <v>Human Resources</v>
      </c>
      <c r="E715" s="3" t="s">
        <v>9</v>
      </c>
      <c r="F715" s="3" t="str">
        <f>VLOOKUP(E715, Ref_GLAccount!$A$2:$D$9, 2, FALSE)</f>
        <v>Marketing &amp; Advertising</v>
      </c>
      <c r="G715" s="3" t="str">
        <f>VLOOKUP(E715, Ref_GLAccount!$A$2:$D$9, 3, FALSE)</f>
        <v>Marketing</v>
      </c>
      <c r="H715" s="6" t="s">
        <v>70</v>
      </c>
      <c r="I715" s="7">
        <v>1622.4</v>
      </c>
      <c r="J715" s="18" t="b">
        <f>IF(tblFactFinance[[#This Row],[MonthStart]] &lt;= Inputs!$B$1, TRUE, FALSE)</f>
        <v>1</v>
      </c>
    </row>
    <row r="716" spans="1:10" x14ac:dyDescent="0.3">
      <c r="A716" s="15">
        <v>45901</v>
      </c>
      <c r="B716" s="17" t="s">
        <v>62</v>
      </c>
      <c r="C716" s="3" t="s">
        <v>5</v>
      </c>
      <c r="D716" s="3" t="str">
        <f>VLOOKUP(C716, Ref_Department!$A$2:$D$6, 2, FALSE)</f>
        <v>Human Resources</v>
      </c>
      <c r="E716" s="3" t="s">
        <v>10</v>
      </c>
      <c r="F716" s="3" t="str">
        <f>VLOOKUP(E716, Ref_GLAccount!$A$2:$D$9, 2, FALSE)</f>
        <v>Professional Services</v>
      </c>
      <c r="G716" s="3" t="str">
        <f>VLOOKUP(E716, Ref_GLAccount!$A$2:$D$9, 3, FALSE)</f>
        <v>Professional Services</v>
      </c>
      <c r="H716" s="6" t="s">
        <v>66</v>
      </c>
      <c r="I716" s="7">
        <v>3613.32</v>
      </c>
      <c r="J716" s="18" t="b">
        <f>IF(tblFactFinance[[#This Row],[MonthStart]] &lt;= Inputs!$B$1, TRUE, FALSE)</f>
        <v>1</v>
      </c>
    </row>
    <row r="717" spans="1:10" x14ac:dyDescent="0.3">
      <c r="A717" s="15">
        <v>45901</v>
      </c>
      <c r="B717" s="17" t="s">
        <v>62</v>
      </c>
      <c r="C717" s="3" t="s">
        <v>5</v>
      </c>
      <c r="D717" s="3" t="str">
        <f>VLOOKUP(C717, Ref_Department!$A$2:$D$6, 2, FALSE)</f>
        <v>Human Resources</v>
      </c>
      <c r="E717" s="3" t="s">
        <v>10</v>
      </c>
      <c r="F717" s="3" t="str">
        <f>VLOOKUP(E717, Ref_GLAccount!$A$2:$D$9, 2, FALSE)</f>
        <v>Professional Services</v>
      </c>
      <c r="G717" s="3" t="str">
        <f>VLOOKUP(E717, Ref_GLAccount!$A$2:$D$9, 3, FALSE)</f>
        <v>Professional Services</v>
      </c>
      <c r="H717" s="6" t="s">
        <v>70</v>
      </c>
      <c r="I717" s="7">
        <v>3640</v>
      </c>
      <c r="J717" s="18" t="b">
        <f>IF(tblFactFinance[[#This Row],[MonthStart]] &lt;= Inputs!$B$1, TRUE, FALSE)</f>
        <v>1</v>
      </c>
    </row>
    <row r="718" spans="1:10" x14ac:dyDescent="0.3">
      <c r="A718" s="15">
        <v>45901</v>
      </c>
      <c r="B718" s="17" t="s">
        <v>62</v>
      </c>
      <c r="C718" s="3" t="s">
        <v>5</v>
      </c>
      <c r="D718" s="3" t="str">
        <f>VLOOKUP(C718, Ref_Department!$A$2:$D$6, 2, FALSE)</f>
        <v>Human Resources</v>
      </c>
      <c r="E718" s="3" t="s">
        <v>11</v>
      </c>
      <c r="F718" s="3" t="str">
        <f>VLOOKUP(E718, Ref_GLAccount!$A$2:$D$9, 2, FALSE)</f>
        <v>Office Supplies</v>
      </c>
      <c r="G718" s="3" t="str">
        <f>VLOOKUP(E718, Ref_GLAccount!$A$2:$D$9, 3, FALSE)</f>
        <v>Other OPEX</v>
      </c>
      <c r="H718" s="6" t="s">
        <v>66</v>
      </c>
      <c r="I718" s="7">
        <v>644.71</v>
      </c>
      <c r="J718" s="18" t="b">
        <f>IF(tblFactFinance[[#This Row],[MonthStart]] &lt;= Inputs!$B$1, TRUE, FALSE)</f>
        <v>1</v>
      </c>
    </row>
    <row r="719" spans="1:10" x14ac:dyDescent="0.3">
      <c r="A719" s="15">
        <v>45901</v>
      </c>
      <c r="B719" s="17" t="s">
        <v>62</v>
      </c>
      <c r="C719" s="3" t="s">
        <v>5</v>
      </c>
      <c r="D719" s="3" t="str">
        <f>VLOOKUP(C719, Ref_Department!$A$2:$D$6, 2, FALSE)</f>
        <v>Human Resources</v>
      </c>
      <c r="E719" s="3" t="s">
        <v>11</v>
      </c>
      <c r="F719" s="3" t="str">
        <f>VLOOKUP(E719, Ref_GLAccount!$A$2:$D$9, 2, FALSE)</f>
        <v>Office Supplies</v>
      </c>
      <c r="G719" s="3" t="str">
        <f>VLOOKUP(E719, Ref_GLAccount!$A$2:$D$9, 3, FALSE)</f>
        <v>Other OPEX</v>
      </c>
      <c r="H719" s="6" t="s">
        <v>70</v>
      </c>
      <c r="I719" s="7">
        <v>624</v>
      </c>
      <c r="J719" s="18" t="b">
        <f>IF(tblFactFinance[[#This Row],[MonthStart]] &lt;= Inputs!$B$1, TRUE, FALSE)</f>
        <v>1</v>
      </c>
    </row>
    <row r="720" spans="1:10" x14ac:dyDescent="0.3">
      <c r="A720" s="15">
        <v>45901</v>
      </c>
      <c r="B720" s="17" t="s">
        <v>62</v>
      </c>
      <c r="C720" s="3" t="s">
        <v>5</v>
      </c>
      <c r="D720" s="3" t="str">
        <f>VLOOKUP(C720, Ref_Department!$A$2:$D$6, 2, FALSE)</f>
        <v>Human Resources</v>
      </c>
      <c r="E720" s="3" t="s">
        <v>12</v>
      </c>
      <c r="F720" s="3" t="str">
        <f>VLOOKUP(E720, Ref_GLAccount!$A$2:$D$9, 2, FALSE)</f>
        <v>Training &amp; Development</v>
      </c>
      <c r="G720" s="3" t="str">
        <f>VLOOKUP(E720, Ref_GLAccount!$A$2:$D$9, 3, FALSE)</f>
        <v>Other OPEX</v>
      </c>
      <c r="H720" s="6" t="s">
        <v>66</v>
      </c>
      <c r="I720" s="7">
        <v>1708.75</v>
      </c>
      <c r="J720" s="18" t="b">
        <f>IF(tblFactFinance[[#This Row],[MonthStart]] &lt;= Inputs!$B$1, TRUE, FALSE)</f>
        <v>1</v>
      </c>
    </row>
    <row r="721" spans="1:10" x14ac:dyDescent="0.3">
      <c r="A721" s="15">
        <v>45901</v>
      </c>
      <c r="B721" s="17" t="s">
        <v>62</v>
      </c>
      <c r="C721" s="3" t="s">
        <v>5</v>
      </c>
      <c r="D721" s="3" t="str">
        <f>VLOOKUP(C721, Ref_Department!$A$2:$D$6, 2, FALSE)</f>
        <v>Human Resources</v>
      </c>
      <c r="E721" s="3" t="s">
        <v>12</v>
      </c>
      <c r="F721" s="3" t="str">
        <f>VLOOKUP(E721, Ref_GLAccount!$A$2:$D$9, 2, FALSE)</f>
        <v>Training &amp; Development</v>
      </c>
      <c r="G721" s="3" t="str">
        <f>VLOOKUP(E721, Ref_GLAccount!$A$2:$D$9, 3, FALSE)</f>
        <v>Other OPEX</v>
      </c>
      <c r="H721" s="6" t="s">
        <v>70</v>
      </c>
      <c r="I721" s="7">
        <v>1664</v>
      </c>
      <c r="J721" s="18" t="b">
        <f>IF(tblFactFinance[[#This Row],[MonthStart]] &lt;= Inputs!$B$1, TRUE, FALSE)</f>
        <v>1</v>
      </c>
    </row>
    <row r="722" spans="1:10" x14ac:dyDescent="0.3">
      <c r="A722" s="15">
        <v>45931</v>
      </c>
      <c r="B722" s="17" t="s">
        <v>63</v>
      </c>
      <c r="C722" s="3" t="s">
        <v>1</v>
      </c>
      <c r="D722" s="3" t="str">
        <f>VLOOKUP(C722, Ref_Department!$A$2:$D$6, 2, FALSE)</f>
        <v>Branch Operations</v>
      </c>
      <c r="E722" s="3" t="s">
        <v>33</v>
      </c>
      <c r="F722" s="3" t="str">
        <f>VLOOKUP(E722, Ref_GLAccount!$A$2:$D$9, 2, FALSE)</f>
        <v>Salaries</v>
      </c>
      <c r="G722" s="3" t="str">
        <f>VLOOKUP(E722, Ref_GLAccount!$A$2:$D$9, 3, FALSE)</f>
        <v>Personnel</v>
      </c>
      <c r="H722" s="6" t="s">
        <v>66</v>
      </c>
      <c r="I722" s="7">
        <v>199913.16</v>
      </c>
      <c r="J722" s="18" t="b">
        <f>IF(tblFactFinance[[#This Row],[MonthStart]] &lt;= Inputs!$B$1, TRUE, FALSE)</f>
        <v>1</v>
      </c>
    </row>
    <row r="723" spans="1:10" x14ac:dyDescent="0.3">
      <c r="A723" s="15">
        <v>45931</v>
      </c>
      <c r="B723" s="17" t="s">
        <v>63</v>
      </c>
      <c r="C723" s="3" t="s">
        <v>1</v>
      </c>
      <c r="D723" s="3" t="str">
        <f>VLOOKUP(C723, Ref_Department!$A$2:$D$6, 2, FALSE)</f>
        <v>Branch Operations</v>
      </c>
      <c r="E723" s="3" t="s">
        <v>33</v>
      </c>
      <c r="F723" s="3" t="str">
        <f>VLOOKUP(E723, Ref_GLAccount!$A$2:$D$9, 2, FALSE)</f>
        <v>Salaries</v>
      </c>
      <c r="G723" s="3" t="str">
        <f>VLOOKUP(E723, Ref_GLAccount!$A$2:$D$9, 3, FALSE)</f>
        <v>Personnel</v>
      </c>
      <c r="H723" s="6" t="s">
        <v>70</v>
      </c>
      <c r="I723" s="7">
        <v>200850</v>
      </c>
      <c r="J723" s="18" t="b">
        <f>IF(tblFactFinance[[#This Row],[MonthStart]] &lt;= Inputs!$B$1, TRUE, FALSE)</f>
        <v>1</v>
      </c>
    </row>
    <row r="724" spans="1:10" x14ac:dyDescent="0.3">
      <c r="A724" s="15">
        <v>45931</v>
      </c>
      <c r="B724" s="17" t="s">
        <v>63</v>
      </c>
      <c r="C724" s="3" t="s">
        <v>1</v>
      </c>
      <c r="D724" s="3" t="str">
        <f>VLOOKUP(C724, Ref_Department!$A$2:$D$6, 2, FALSE)</f>
        <v>Branch Operations</v>
      </c>
      <c r="E724" s="3" t="s">
        <v>37</v>
      </c>
      <c r="F724" s="3" t="str">
        <f>VLOOKUP(E724, Ref_GLAccount!$A$2:$D$9, 2, FALSE)</f>
        <v>Benefits</v>
      </c>
      <c r="G724" s="3" t="str">
        <f>VLOOKUP(E724, Ref_GLAccount!$A$2:$D$9, 3, FALSE)</f>
        <v>Personnel</v>
      </c>
      <c r="H724" s="6" t="s">
        <v>66</v>
      </c>
      <c r="I724" s="7">
        <v>42667.360000000001</v>
      </c>
      <c r="J724" s="18" t="b">
        <f>IF(tblFactFinance[[#This Row],[MonthStart]] &lt;= Inputs!$B$1, TRUE, FALSE)</f>
        <v>1</v>
      </c>
    </row>
    <row r="725" spans="1:10" x14ac:dyDescent="0.3">
      <c r="A725" s="15">
        <v>45931</v>
      </c>
      <c r="B725" s="17" t="s">
        <v>63</v>
      </c>
      <c r="C725" s="3" t="s">
        <v>1</v>
      </c>
      <c r="D725" s="3" t="str">
        <f>VLOOKUP(C725, Ref_Department!$A$2:$D$6, 2, FALSE)</f>
        <v>Branch Operations</v>
      </c>
      <c r="E725" s="3" t="s">
        <v>37</v>
      </c>
      <c r="F725" s="3" t="str">
        <f>VLOOKUP(E725, Ref_GLAccount!$A$2:$D$9, 2, FALSE)</f>
        <v>Benefits</v>
      </c>
      <c r="G725" s="3" t="str">
        <f>VLOOKUP(E725, Ref_GLAccount!$A$2:$D$9, 3, FALSE)</f>
        <v>Personnel</v>
      </c>
      <c r="H725" s="6" t="s">
        <v>70</v>
      </c>
      <c r="I725" s="7">
        <v>44187</v>
      </c>
      <c r="J725" s="18" t="b">
        <f>IF(tblFactFinance[[#This Row],[MonthStart]] &lt;= Inputs!$B$1, TRUE, FALSE)</f>
        <v>1</v>
      </c>
    </row>
    <row r="726" spans="1:10" x14ac:dyDescent="0.3">
      <c r="A726" s="15">
        <v>45931</v>
      </c>
      <c r="B726" s="17" t="s">
        <v>63</v>
      </c>
      <c r="C726" s="3" t="s">
        <v>1</v>
      </c>
      <c r="D726" s="3" t="str">
        <f>VLOOKUP(C726, Ref_Department!$A$2:$D$6, 2, FALSE)</f>
        <v>Branch Operations</v>
      </c>
      <c r="E726" s="3" t="s">
        <v>7</v>
      </c>
      <c r="F726" s="3" t="str">
        <f>VLOOKUP(E726, Ref_GLAccount!$A$2:$D$9, 2, FALSE)</f>
        <v>Occupancy &amp; Facilities</v>
      </c>
      <c r="G726" s="3" t="str">
        <f>VLOOKUP(E726, Ref_GLAccount!$A$2:$D$9, 3, FALSE)</f>
        <v>Facilities</v>
      </c>
      <c r="H726" s="6" t="s">
        <v>66</v>
      </c>
      <c r="I726" s="7">
        <v>36571.019999999997</v>
      </c>
      <c r="J726" s="18" t="b">
        <f>IF(tblFactFinance[[#This Row],[MonthStart]] &lt;= Inputs!$B$1, TRUE, FALSE)</f>
        <v>1</v>
      </c>
    </row>
    <row r="727" spans="1:10" x14ac:dyDescent="0.3">
      <c r="A727" s="15">
        <v>45931</v>
      </c>
      <c r="B727" s="17" t="s">
        <v>63</v>
      </c>
      <c r="C727" s="3" t="s">
        <v>1</v>
      </c>
      <c r="D727" s="3" t="str">
        <f>VLOOKUP(C727, Ref_Department!$A$2:$D$6, 2, FALSE)</f>
        <v>Branch Operations</v>
      </c>
      <c r="E727" s="3" t="s">
        <v>7</v>
      </c>
      <c r="F727" s="3" t="str">
        <f>VLOOKUP(E727, Ref_GLAccount!$A$2:$D$9, 2, FALSE)</f>
        <v>Occupancy &amp; Facilities</v>
      </c>
      <c r="G727" s="3" t="str">
        <f>VLOOKUP(E727, Ref_GLAccount!$A$2:$D$9, 3, FALSE)</f>
        <v>Facilities</v>
      </c>
      <c r="H727" s="6" t="s">
        <v>70</v>
      </c>
      <c r="I727" s="7">
        <v>38000</v>
      </c>
      <c r="J727" s="18" t="b">
        <f>IF(tblFactFinance[[#This Row],[MonthStart]] &lt;= Inputs!$B$1, TRUE, FALSE)</f>
        <v>1</v>
      </c>
    </row>
    <row r="728" spans="1:10" x14ac:dyDescent="0.3">
      <c r="A728" s="15">
        <v>45931</v>
      </c>
      <c r="B728" s="17" t="s">
        <v>63</v>
      </c>
      <c r="C728" s="3" t="s">
        <v>1</v>
      </c>
      <c r="D728" s="3" t="str">
        <f>VLOOKUP(C728, Ref_Department!$A$2:$D$6, 2, FALSE)</f>
        <v>Branch Operations</v>
      </c>
      <c r="E728" s="3" t="s">
        <v>8</v>
      </c>
      <c r="F728" s="3" t="str">
        <f>VLOOKUP(E728, Ref_GLAccount!$A$2:$D$9, 2, FALSE)</f>
        <v>IT Software &amp; Subscriptions</v>
      </c>
      <c r="G728" s="3" t="str">
        <f>VLOOKUP(E728, Ref_GLAccount!$A$2:$D$9, 3, FALSE)</f>
        <v>IT</v>
      </c>
      <c r="H728" s="6" t="s">
        <v>66</v>
      </c>
      <c r="I728" s="7">
        <v>12110.22</v>
      </c>
      <c r="J728" s="18" t="b">
        <f>IF(tblFactFinance[[#This Row],[MonthStart]] &lt;= Inputs!$B$1, TRUE, FALSE)</f>
        <v>1</v>
      </c>
    </row>
    <row r="729" spans="1:10" x14ac:dyDescent="0.3">
      <c r="A729" s="15">
        <v>45931</v>
      </c>
      <c r="B729" s="17" t="s">
        <v>63</v>
      </c>
      <c r="C729" s="3" t="s">
        <v>1</v>
      </c>
      <c r="D729" s="3" t="str">
        <f>VLOOKUP(C729, Ref_Department!$A$2:$D$6, 2, FALSE)</f>
        <v>Branch Operations</v>
      </c>
      <c r="E729" s="3" t="s">
        <v>8</v>
      </c>
      <c r="F729" s="3" t="str">
        <f>VLOOKUP(E729, Ref_GLAccount!$A$2:$D$9, 2, FALSE)</f>
        <v>IT Software &amp; Subscriptions</v>
      </c>
      <c r="G729" s="3" t="str">
        <f>VLOOKUP(E729, Ref_GLAccount!$A$2:$D$9, 3, FALSE)</f>
        <v>IT</v>
      </c>
      <c r="H729" s="6" t="s">
        <v>70</v>
      </c>
      <c r="I729" s="7">
        <v>12480</v>
      </c>
      <c r="J729" s="18" t="b">
        <f>IF(tblFactFinance[[#This Row],[MonthStart]] &lt;= Inputs!$B$1, TRUE, FALSE)</f>
        <v>1</v>
      </c>
    </row>
    <row r="730" spans="1:10" x14ac:dyDescent="0.3">
      <c r="A730" s="15">
        <v>45931</v>
      </c>
      <c r="B730" s="17" t="s">
        <v>63</v>
      </c>
      <c r="C730" s="3" t="s">
        <v>1</v>
      </c>
      <c r="D730" s="3" t="str">
        <f>VLOOKUP(C730, Ref_Department!$A$2:$D$6, 2, FALSE)</f>
        <v>Branch Operations</v>
      </c>
      <c r="E730" s="3" t="s">
        <v>9</v>
      </c>
      <c r="F730" s="3" t="str">
        <f>VLOOKUP(E730, Ref_GLAccount!$A$2:$D$9, 2, FALSE)</f>
        <v>Marketing &amp; Advertising</v>
      </c>
      <c r="G730" s="3" t="str">
        <f>VLOOKUP(E730, Ref_GLAccount!$A$2:$D$9, 3, FALSE)</f>
        <v>Marketing</v>
      </c>
      <c r="H730" s="6" t="s">
        <v>66</v>
      </c>
      <c r="I730" s="7">
        <v>3996.18</v>
      </c>
      <c r="J730" s="18" t="b">
        <f>IF(tblFactFinance[[#This Row],[MonthStart]] &lt;= Inputs!$B$1, TRUE, FALSE)</f>
        <v>1</v>
      </c>
    </row>
    <row r="731" spans="1:10" x14ac:dyDescent="0.3">
      <c r="A731" s="15">
        <v>45931</v>
      </c>
      <c r="B731" s="17" t="s">
        <v>63</v>
      </c>
      <c r="C731" s="3" t="s">
        <v>1</v>
      </c>
      <c r="D731" s="3" t="str">
        <f>VLOOKUP(C731, Ref_Department!$A$2:$D$6, 2, FALSE)</f>
        <v>Branch Operations</v>
      </c>
      <c r="E731" s="3" t="s">
        <v>9</v>
      </c>
      <c r="F731" s="3" t="str">
        <f>VLOOKUP(E731, Ref_GLAccount!$A$2:$D$9, 2, FALSE)</f>
        <v>Marketing &amp; Advertising</v>
      </c>
      <c r="G731" s="3" t="str">
        <f>VLOOKUP(E731, Ref_GLAccount!$A$2:$D$9, 3, FALSE)</f>
        <v>Marketing</v>
      </c>
      <c r="H731" s="6" t="s">
        <v>70</v>
      </c>
      <c r="I731" s="7">
        <v>4160</v>
      </c>
      <c r="J731" s="18" t="b">
        <f>IF(tblFactFinance[[#This Row],[MonthStart]] &lt;= Inputs!$B$1, TRUE, FALSE)</f>
        <v>1</v>
      </c>
    </row>
    <row r="732" spans="1:10" x14ac:dyDescent="0.3">
      <c r="A732" s="15">
        <v>45931</v>
      </c>
      <c r="B732" s="17" t="s">
        <v>63</v>
      </c>
      <c r="C732" s="3" t="s">
        <v>1</v>
      </c>
      <c r="D732" s="3" t="str">
        <f>VLOOKUP(C732, Ref_Department!$A$2:$D$6, 2, FALSE)</f>
        <v>Branch Operations</v>
      </c>
      <c r="E732" s="3" t="s">
        <v>10</v>
      </c>
      <c r="F732" s="3" t="str">
        <f>VLOOKUP(E732, Ref_GLAccount!$A$2:$D$9, 2, FALSE)</f>
        <v>Professional Services</v>
      </c>
      <c r="G732" s="3" t="str">
        <f>VLOOKUP(E732, Ref_GLAccount!$A$2:$D$9, 3, FALSE)</f>
        <v>Professional Services</v>
      </c>
      <c r="H732" s="6" t="s">
        <v>66</v>
      </c>
      <c r="I732" s="7">
        <v>5380.09</v>
      </c>
      <c r="J732" s="18" t="b">
        <f>IF(tblFactFinance[[#This Row],[MonthStart]] &lt;= Inputs!$B$1, TRUE, FALSE)</f>
        <v>1</v>
      </c>
    </row>
    <row r="733" spans="1:10" x14ac:dyDescent="0.3">
      <c r="A733" s="15">
        <v>45931</v>
      </c>
      <c r="B733" s="17" t="s">
        <v>63</v>
      </c>
      <c r="C733" s="3" t="s">
        <v>1</v>
      </c>
      <c r="D733" s="3" t="str">
        <f>VLOOKUP(C733, Ref_Department!$A$2:$D$6, 2, FALSE)</f>
        <v>Branch Operations</v>
      </c>
      <c r="E733" s="3" t="s">
        <v>10</v>
      </c>
      <c r="F733" s="3" t="str">
        <f>VLOOKUP(E733, Ref_GLAccount!$A$2:$D$9, 2, FALSE)</f>
        <v>Professional Services</v>
      </c>
      <c r="G733" s="3" t="str">
        <f>VLOOKUP(E733, Ref_GLAccount!$A$2:$D$9, 3, FALSE)</f>
        <v>Professional Services</v>
      </c>
      <c r="H733" s="6" t="s">
        <v>70</v>
      </c>
      <c r="I733" s="7">
        <v>5200</v>
      </c>
      <c r="J733" s="18" t="b">
        <f>IF(tblFactFinance[[#This Row],[MonthStart]] &lt;= Inputs!$B$1, TRUE, FALSE)</f>
        <v>1</v>
      </c>
    </row>
    <row r="734" spans="1:10" x14ac:dyDescent="0.3">
      <c r="A734" s="15">
        <v>45931</v>
      </c>
      <c r="B734" s="17" t="s">
        <v>63</v>
      </c>
      <c r="C734" s="3" t="s">
        <v>1</v>
      </c>
      <c r="D734" s="3" t="str">
        <f>VLOOKUP(C734, Ref_Department!$A$2:$D$6, 2, FALSE)</f>
        <v>Branch Operations</v>
      </c>
      <c r="E734" s="3" t="s">
        <v>11</v>
      </c>
      <c r="F734" s="3" t="str">
        <f>VLOOKUP(E734, Ref_GLAccount!$A$2:$D$9, 2, FALSE)</f>
        <v>Office Supplies</v>
      </c>
      <c r="G734" s="3" t="str">
        <f>VLOOKUP(E734, Ref_GLAccount!$A$2:$D$9, 3, FALSE)</f>
        <v>Other OPEX</v>
      </c>
      <c r="H734" s="6" t="s">
        <v>66</v>
      </c>
      <c r="I734" s="7">
        <v>1557.09</v>
      </c>
      <c r="J734" s="18" t="b">
        <f>IF(tblFactFinance[[#This Row],[MonthStart]] &lt;= Inputs!$B$1, TRUE, FALSE)</f>
        <v>1</v>
      </c>
    </row>
    <row r="735" spans="1:10" x14ac:dyDescent="0.3">
      <c r="A735" s="15">
        <v>45931</v>
      </c>
      <c r="B735" s="17" t="s">
        <v>63</v>
      </c>
      <c r="C735" s="3" t="s">
        <v>1</v>
      </c>
      <c r="D735" s="3" t="str">
        <f>VLOOKUP(C735, Ref_Department!$A$2:$D$6, 2, FALSE)</f>
        <v>Branch Operations</v>
      </c>
      <c r="E735" s="3" t="s">
        <v>11</v>
      </c>
      <c r="F735" s="3" t="str">
        <f>VLOOKUP(E735, Ref_GLAccount!$A$2:$D$9, 2, FALSE)</f>
        <v>Office Supplies</v>
      </c>
      <c r="G735" s="3" t="str">
        <f>VLOOKUP(E735, Ref_GLAccount!$A$2:$D$9, 3, FALSE)</f>
        <v>Other OPEX</v>
      </c>
      <c r="H735" s="6" t="s">
        <v>70</v>
      </c>
      <c r="I735" s="7">
        <v>1560</v>
      </c>
      <c r="J735" s="18" t="b">
        <f>IF(tblFactFinance[[#This Row],[MonthStart]] &lt;= Inputs!$B$1, TRUE, FALSE)</f>
        <v>1</v>
      </c>
    </row>
    <row r="736" spans="1:10" x14ac:dyDescent="0.3">
      <c r="A736" s="15">
        <v>45931</v>
      </c>
      <c r="B736" s="17" t="s">
        <v>63</v>
      </c>
      <c r="C736" s="3" t="s">
        <v>1</v>
      </c>
      <c r="D736" s="3" t="str">
        <f>VLOOKUP(C736, Ref_Department!$A$2:$D$6, 2, FALSE)</f>
        <v>Branch Operations</v>
      </c>
      <c r="E736" s="3" t="s">
        <v>12</v>
      </c>
      <c r="F736" s="3" t="str">
        <f>VLOOKUP(E736, Ref_GLAccount!$A$2:$D$9, 2, FALSE)</f>
        <v>Training &amp; Development</v>
      </c>
      <c r="G736" s="3" t="str">
        <f>VLOOKUP(E736, Ref_GLAccount!$A$2:$D$9, 3, FALSE)</f>
        <v>Other OPEX</v>
      </c>
      <c r="H736" s="6" t="s">
        <v>66</v>
      </c>
      <c r="I736" s="7">
        <v>1326.38</v>
      </c>
      <c r="J736" s="18" t="b">
        <f>IF(tblFactFinance[[#This Row],[MonthStart]] &lt;= Inputs!$B$1, TRUE, FALSE)</f>
        <v>1</v>
      </c>
    </row>
    <row r="737" spans="1:10" x14ac:dyDescent="0.3">
      <c r="A737" s="15">
        <v>45931</v>
      </c>
      <c r="B737" s="17" t="s">
        <v>63</v>
      </c>
      <c r="C737" s="3" t="s">
        <v>1</v>
      </c>
      <c r="D737" s="3" t="str">
        <f>VLOOKUP(C737, Ref_Department!$A$2:$D$6, 2, FALSE)</f>
        <v>Branch Operations</v>
      </c>
      <c r="E737" s="3" t="s">
        <v>12</v>
      </c>
      <c r="F737" s="3" t="str">
        <f>VLOOKUP(E737, Ref_GLAccount!$A$2:$D$9, 2, FALSE)</f>
        <v>Training &amp; Development</v>
      </c>
      <c r="G737" s="3" t="str">
        <f>VLOOKUP(E737, Ref_GLAccount!$A$2:$D$9, 3, FALSE)</f>
        <v>Other OPEX</v>
      </c>
      <c r="H737" s="6" t="s">
        <v>70</v>
      </c>
      <c r="I737" s="7">
        <v>1248</v>
      </c>
      <c r="J737" s="18" t="b">
        <f>IF(tblFactFinance[[#This Row],[MonthStart]] &lt;= Inputs!$B$1, TRUE, FALSE)</f>
        <v>1</v>
      </c>
    </row>
    <row r="738" spans="1:10" x14ac:dyDescent="0.3">
      <c r="A738" s="15">
        <v>45931</v>
      </c>
      <c r="B738" s="17" t="s">
        <v>63</v>
      </c>
      <c r="C738" s="3" t="s">
        <v>2</v>
      </c>
      <c r="D738" s="3" t="str">
        <f>VLOOKUP(C738, Ref_Department!$A$2:$D$6, 2, FALSE)</f>
        <v>Lending</v>
      </c>
      <c r="E738" s="3" t="s">
        <v>33</v>
      </c>
      <c r="F738" s="3" t="str">
        <f>VLOOKUP(E738, Ref_GLAccount!$A$2:$D$9, 2, FALSE)</f>
        <v>Salaries</v>
      </c>
      <c r="G738" s="3" t="str">
        <f>VLOOKUP(E738, Ref_GLAccount!$A$2:$D$9, 3, FALSE)</f>
        <v>Personnel</v>
      </c>
      <c r="H738" s="6" t="s">
        <v>66</v>
      </c>
      <c r="I738" s="7">
        <v>188816.61</v>
      </c>
      <c r="J738" s="18" t="b">
        <f>IF(tblFactFinance[[#This Row],[MonthStart]] &lt;= Inputs!$B$1, TRUE, FALSE)</f>
        <v>1</v>
      </c>
    </row>
    <row r="739" spans="1:10" x14ac:dyDescent="0.3">
      <c r="A739" s="15">
        <v>45931</v>
      </c>
      <c r="B739" s="17" t="s">
        <v>63</v>
      </c>
      <c r="C739" s="3" t="s">
        <v>2</v>
      </c>
      <c r="D739" s="3" t="str">
        <f>VLOOKUP(C739, Ref_Department!$A$2:$D$6, 2, FALSE)</f>
        <v>Lending</v>
      </c>
      <c r="E739" s="3" t="s">
        <v>33</v>
      </c>
      <c r="F739" s="3" t="str">
        <f>VLOOKUP(E739, Ref_GLAccount!$A$2:$D$9, 2, FALSE)</f>
        <v>Salaries</v>
      </c>
      <c r="G739" s="3" t="str">
        <f>VLOOKUP(E739, Ref_GLAccount!$A$2:$D$9, 3, FALSE)</f>
        <v>Personnel</v>
      </c>
      <c r="H739" s="6" t="s">
        <v>70</v>
      </c>
      <c r="I739" s="7">
        <v>173040</v>
      </c>
      <c r="J739" s="18" t="b">
        <f>IF(tblFactFinance[[#This Row],[MonthStart]] &lt;= Inputs!$B$1, TRUE, FALSE)</f>
        <v>1</v>
      </c>
    </row>
    <row r="740" spans="1:10" x14ac:dyDescent="0.3">
      <c r="A740" s="15">
        <v>45931</v>
      </c>
      <c r="B740" s="17" t="s">
        <v>63</v>
      </c>
      <c r="C740" s="3" t="s">
        <v>2</v>
      </c>
      <c r="D740" s="3" t="str">
        <f>VLOOKUP(C740, Ref_Department!$A$2:$D$6, 2, FALSE)</f>
        <v>Lending</v>
      </c>
      <c r="E740" s="3" t="s">
        <v>37</v>
      </c>
      <c r="F740" s="3" t="str">
        <f>VLOOKUP(E740, Ref_GLAccount!$A$2:$D$9, 2, FALSE)</f>
        <v>Benefits</v>
      </c>
      <c r="G740" s="3" t="str">
        <f>VLOOKUP(E740, Ref_GLAccount!$A$2:$D$9, 3, FALSE)</f>
        <v>Personnel</v>
      </c>
      <c r="H740" s="6" t="s">
        <v>66</v>
      </c>
      <c r="I740" s="7">
        <v>38105.68</v>
      </c>
      <c r="J740" s="18" t="b">
        <f>IF(tblFactFinance[[#This Row],[MonthStart]] &lt;= Inputs!$B$1, TRUE, FALSE)</f>
        <v>1</v>
      </c>
    </row>
    <row r="741" spans="1:10" x14ac:dyDescent="0.3">
      <c r="A741" s="15">
        <v>45931</v>
      </c>
      <c r="B741" s="17" t="s">
        <v>63</v>
      </c>
      <c r="C741" s="3" t="s">
        <v>2</v>
      </c>
      <c r="D741" s="3" t="str">
        <f>VLOOKUP(C741, Ref_Department!$A$2:$D$6, 2, FALSE)</f>
        <v>Lending</v>
      </c>
      <c r="E741" s="3" t="s">
        <v>37</v>
      </c>
      <c r="F741" s="3" t="str">
        <f>VLOOKUP(E741, Ref_GLAccount!$A$2:$D$9, 2, FALSE)</f>
        <v>Benefits</v>
      </c>
      <c r="G741" s="3" t="str">
        <f>VLOOKUP(E741, Ref_GLAccount!$A$2:$D$9, 3, FALSE)</f>
        <v>Personnel</v>
      </c>
      <c r="H741" s="6" t="s">
        <v>70</v>
      </c>
      <c r="I741" s="7">
        <v>38068.800000000003</v>
      </c>
      <c r="J741" s="18" t="b">
        <f>IF(tblFactFinance[[#This Row],[MonthStart]] &lt;= Inputs!$B$1, TRUE, FALSE)</f>
        <v>1</v>
      </c>
    </row>
    <row r="742" spans="1:10" x14ac:dyDescent="0.3">
      <c r="A742" s="15">
        <v>45931</v>
      </c>
      <c r="B742" s="17" t="s">
        <v>63</v>
      </c>
      <c r="C742" s="3" t="s">
        <v>2</v>
      </c>
      <c r="D742" s="3" t="str">
        <f>VLOOKUP(C742, Ref_Department!$A$2:$D$6, 2, FALSE)</f>
        <v>Lending</v>
      </c>
      <c r="E742" s="3" t="s">
        <v>7</v>
      </c>
      <c r="F742" s="3" t="str">
        <f>VLOOKUP(E742, Ref_GLAccount!$A$2:$D$9, 2, FALSE)</f>
        <v>Occupancy &amp; Facilities</v>
      </c>
      <c r="G742" s="3" t="str">
        <f>VLOOKUP(E742, Ref_GLAccount!$A$2:$D$9, 3, FALSE)</f>
        <v>Facilities</v>
      </c>
      <c r="H742" s="6" t="s">
        <v>66</v>
      </c>
      <c r="I742" s="7">
        <v>15009.27</v>
      </c>
      <c r="J742" s="18" t="b">
        <f>IF(tblFactFinance[[#This Row],[MonthStart]] &lt;= Inputs!$B$1, TRUE, FALSE)</f>
        <v>1</v>
      </c>
    </row>
    <row r="743" spans="1:10" x14ac:dyDescent="0.3">
      <c r="A743" s="15">
        <v>45931</v>
      </c>
      <c r="B743" s="17" t="s">
        <v>63</v>
      </c>
      <c r="C743" s="3" t="s">
        <v>2</v>
      </c>
      <c r="D743" s="3" t="str">
        <f>VLOOKUP(C743, Ref_Department!$A$2:$D$6, 2, FALSE)</f>
        <v>Lending</v>
      </c>
      <c r="E743" s="3" t="s">
        <v>7</v>
      </c>
      <c r="F743" s="3" t="str">
        <f>VLOOKUP(E743, Ref_GLAccount!$A$2:$D$9, 2, FALSE)</f>
        <v>Occupancy &amp; Facilities</v>
      </c>
      <c r="G743" s="3" t="str">
        <f>VLOOKUP(E743, Ref_GLAccount!$A$2:$D$9, 3, FALSE)</f>
        <v>Facilities</v>
      </c>
      <c r="H743" s="6" t="s">
        <v>70</v>
      </c>
      <c r="I743" s="7">
        <v>16000</v>
      </c>
      <c r="J743" s="18" t="b">
        <f>IF(tblFactFinance[[#This Row],[MonthStart]] &lt;= Inputs!$B$1, TRUE, FALSE)</f>
        <v>1</v>
      </c>
    </row>
    <row r="744" spans="1:10" x14ac:dyDescent="0.3">
      <c r="A744" s="15">
        <v>45931</v>
      </c>
      <c r="B744" s="17" t="s">
        <v>63</v>
      </c>
      <c r="C744" s="3" t="s">
        <v>2</v>
      </c>
      <c r="D744" s="3" t="str">
        <f>VLOOKUP(C744, Ref_Department!$A$2:$D$6, 2, FALSE)</f>
        <v>Lending</v>
      </c>
      <c r="E744" s="3" t="s">
        <v>8</v>
      </c>
      <c r="F744" s="3" t="str">
        <f>VLOOKUP(E744, Ref_GLAccount!$A$2:$D$9, 2, FALSE)</f>
        <v>IT Software &amp; Subscriptions</v>
      </c>
      <c r="G744" s="3" t="str">
        <f>VLOOKUP(E744, Ref_GLAccount!$A$2:$D$9, 3, FALSE)</f>
        <v>IT</v>
      </c>
      <c r="H744" s="6" t="s">
        <v>66</v>
      </c>
      <c r="I744" s="7">
        <v>9217.18</v>
      </c>
      <c r="J744" s="18" t="b">
        <f>IF(tblFactFinance[[#This Row],[MonthStart]] &lt;= Inputs!$B$1, TRUE, FALSE)</f>
        <v>1</v>
      </c>
    </row>
    <row r="745" spans="1:10" x14ac:dyDescent="0.3">
      <c r="A745" s="15">
        <v>45931</v>
      </c>
      <c r="B745" s="17" t="s">
        <v>63</v>
      </c>
      <c r="C745" s="3" t="s">
        <v>2</v>
      </c>
      <c r="D745" s="3" t="str">
        <f>VLOOKUP(C745, Ref_Department!$A$2:$D$6, 2, FALSE)</f>
        <v>Lending</v>
      </c>
      <c r="E745" s="3" t="s">
        <v>8</v>
      </c>
      <c r="F745" s="3" t="str">
        <f>VLOOKUP(E745, Ref_GLAccount!$A$2:$D$9, 2, FALSE)</f>
        <v>IT Software &amp; Subscriptions</v>
      </c>
      <c r="G745" s="3" t="str">
        <f>VLOOKUP(E745, Ref_GLAccount!$A$2:$D$9, 3, FALSE)</f>
        <v>IT</v>
      </c>
      <c r="H745" s="6" t="s">
        <v>70</v>
      </c>
      <c r="I745" s="7">
        <v>9360</v>
      </c>
      <c r="J745" s="18" t="b">
        <f>IF(tblFactFinance[[#This Row],[MonthStart]] &lt;= Inputs!$B$1, TRUE, FALSE)</f>
        <v>1</v>
      </c>
    </row>
    <row r="746" spans="1:10" x14ac:dyDescent="0.3">
      <c r="A746" s="15">
        <v>45931</v>
      </c>
      <c r="B746" s="17" t="s">
        <v>63</v>
      </c>
      <c r="C746" s="3" t="s">
        <v>2</v>
      </c>
      <c r="D746" s="3" t="str">
        <f>VLOOKUP(C746, Ref_Department!$A$2:$D$6, 2, FALSE)</f>
        <v>Lending</v>
      </c>
      <c r="E746" s="3" t="s">
        <v>9</v>
      </c>
      <c r="F746" s="3" t="str">
        <f>VLOOKUP(E746, Ref_GLAccount!$A$2:$D$9, 2, FALSE)</f>
        <v>Marketing &amp; Advertising</v>
      </c>
      <c r="G746" s="3" t="str">
        <f>VLOOKUP(E746, Ref_GLAccount!$A$2:$D$9, 3, FALSE)</f>
        <v>Marketing</v>
      </c>
      <c r="H746" s="6" t="s">
        <v>66</v>
      </c>
      <c r="I746" s="7">
        <v>6221.19</v>
      </c>
      <c r="J746" s="18" t="b">
        <f>IF(tblFactFinance[[#This Row],[MonthStart]] &lt;= Inputs!$B$1, TRUE, FALSE)</f>
        <v>1</v>
      </c>
    </row>
    <row r="747" spans="1:10" x14ac:dyDescent="0.3">
      <c r="A747" s="15">
        <v>45931</v>
      </c>
      <c r="B747" s="17" t="s">
        <v>63</v>
      </c>
      <c r="C747" s="3" t="s">
        <v>2</v>
      </c>
      <c r="D747" s="3" t="str">
        <f>VLOOKUP(C747, Ref_Department!$A$2:$D$6, 2, FALSE)</f>
        <v>Lending</v>
      </c>
      <c r="E747" s="3" t="s">
        <v>9</v>
      </c>
      <c r="F747" s="3" t="str">
        <f>VLOOKUP(E747, Ref_GLAccount!$A$2:$D$9, 2, FALSE)</f>
        <v>Marketing &amp; Advertising</v>
      </c>
      <c r="G747" s="3" t="str">
        <f>VLOOKUP(E747, Ref_GLAccount!$A$2:$D$9, 3, FALSE)</f>
        <v>Marketing</v>
      </c>
      <c r="H747" s="6" t="s">
        <v>70</v>
      </c>
      <c r="I747" s="7">
        <v>6240</v>
      </c>
      <c r="J747" s="18" t="b">
        <f>IF(tblFactFinance[[#This Row],[MonthStart]] &lt;= Inputs!$B$1, TRUE, FALSE)</f>
        <v>1</v>
      </c>
    </row>
    <row r="748" spans="1:10" x14ac:dyDescent="0.3">
      <c r="A748" s="15">
        <v>45931</v>
      </c>
      <c r="B748" s="17" t="s">
        <v>63</v>
      </c>
      <c r="C748" s="3" t="s">
        <v>2</v>
      </c>
      <c r="D748" s="3" t="str">
        <f>VLOOKUP(C748, Ref_Department!$A$2:$D$6, 2, FALSE)</f>
        <v>Lending</v>
      </c>
      <c r="E748" s="3" t="s">
        <v>10</v>
      </c>
      <c r="F748" s="3" t="str">
        <f>VLOOKUP(E748, Ref_GLAccount!$A$2:$D$9, 2, FALSE)</f>
        <v>Professional Services</v>
      </c>
      <c r="G748" s="3" t="str">
        <f>VLOOKUP(E748, Ref_GLAccount!$A$2:$D$9, 3, FALSE)</f>
        <v>Professional Services</v>
      </c>
      <c r="H748" s="6" t="s">
        <v>66</v>
      </c>
      <c r="I748" s="7">
        <v>7824.65</v>
      </c>
      <c r="J748" s="18" t="b">
        <f>IF(tblFactFinance[[#This Row],[MonthStart]] &lt;= Inputs!$B$1, TRUE, FALSE)</f>
        <v>1</v>
      </c>
    </row>
    <row r="749" spans="1:10" x14ac:dyDescent="0.3">
      <c r="A749" s="15">
        <v>45931</v>
      </c>
      <c r="B749" s="17" t="s">
        <v>63</v>
      </c>
      <c r="C749" s="3" t="s">
        <v>2</v>
      </c>
      <c r="D749" s="3" t="str">
        <f>VLOOKUP(C749, Ref_Department!$A$2:$D$6, 2, FALSE)</f>
        <v>Lending</v>
      </c>
      <c r="E749" s="3" t="s">
        <v>10</v>
      </c>
      <c r="F749" s="3" t="str">
        <f>VLOOKUP(E749, Ref_GLAccount!$A$2:$D$9, 2, FALSE)</f>
        <v>Professional Services</v>
      </c>
      <c r="G749" s="3" t="str">
        <f>VLOOKUP(E749, Ref_GLAccount!$A$2:$D$9, 3, FALSE)</f>
        <v>Professional Services</v>
      </c>
      <c r="H749" s="6" t="s">
        <v>70</v>
      </c>
      <c r="I749" s="7">
        <v>8320</v>
      </c>
      <c r="J749" s="18" t="b">
        <f>IF(tblFactFinance[[#This Row],[MonthStart]] &lt;= Inputs!$B$1, TRUE, FALSE)</f>
        <v>1</v>
      </c>
    </row>
    <row r="750" spans="1:10" x14ac:dyDescent="0.3">
      <c r="A750" s="15">
        <v>45931</v>
      </c>
      <c r="B750" s="17" t="s">
        <v>63</v>
      </c>
      <c r="C750" s="3" t="s">
        <v>2</v>
      </c>
      <c r="D750" s="3" t="str">
        <f>VLOOKUP(C750, Ref_Department!$A$2:$D$6, 2, FALSE)</f>
        <v>Lending</v>
      </c>
      <c r="E750" s="3" t="s">
        <v>11</v>
      </c>
      <c r="F750" s="3" t="str">
        <f>VLOOKUP(E750, Ref_GLAccount!$A$2:$D$9, 2, FALSE)</f>
        <v>Office Supplies</v>
      </c>
      <c r="G750" s="3" t="str">
        <f>VLOOKUP(E750, Ref_GLAccount!$A$2:$D$9, 3, FALSE)</f>
        <v>Other OPEX</v>
      </c>
      <c r="H750" s="6" t="s">
        <v>66</v>
      </c>
      <c r="I750" s="7">
        <v>926.62</v>
      </c>
      <c r="J750" s="18" t="b">
        <f>IF(tblFactFinance[[#This Row],[MonthStart]] &lt;= Inputs!$B$1, TRUE, FALSE)</f>
        <v>1</v>
      </c>
    </row>
    <row r="751" spans="1:10" x14ac:dyDescent="0.3">
      <c r="A751" s="15">
        <v>45931</v>
      </c>
      <c r="B751" s="17" t="s">
        <v>63</v>
      </c>
      <c r="C751" s="3" t="s">
        <v>2</v>
      </c>
      <c r="D751" s="3" t="str">
        <f>VLOOKUP(C751, Ref_Department!$A$2:$D$6, 2, FALSE)</f>
        <v>Lending</v>
      </c>
      <c r="E751" s="3" t="s">
        <v>11</v>
      </c>
      <c r="F751" s="3" t="str">
        <f>VLOOKUP(E751, Ref_GLAccount!$A$2:$D$9, 2, FALSE)</f>
        <v>Office Supplies</v>
      </c>
      <c r="G751" s="3" t="str">
        <f>VLOOKUP(E751, Ref_GLAccount!$A$2:$D$9, 3, FALSE)</f>
        <v>Other OPEX</v>
      </c>
      <c r="H751" s="6" t="s">
        <v>70</v>
      </c>
      <c r="I751" s="7">
        <v>936</v>
      </c>
      <c r="J751" s="18" t="b">
        <f>IF(tblFactFinance[[#This Row],[MonthStart]] &lt;= Inputs!$B$1, TRUE, FALSE)</f>
        <v>1</v>
      </c>
    </row>
    <row r="752" spans="1:10" x14ac:dyDescent="0.3">
      <c r="A752" s="15">
        <v>45931</v>
      </c>
      <c r="B752" s="17" t="s">
        <v>63</v>
      </c>
      <c r="C752" s="3" t="s">
        <v>2</v>
      </c>
      <c r="D752" s="3" t="str">
        <f>VLOOKUP(C752, Ref_Department!$A$2:$D$6, 2, FALSE)</f>
        <v>Lending</v>
      </c>
      <c r="E752" s="3" t="s">
        <v>12</v>
      </c>
      <c r="F752" s="3" t="str">
        <f>VLOOKUP(E752, Ref_GLAccount!$A$2:$D$9, 2, FALSE)</f>
        <v>Training &amp; Development</v>
      </c>
      <c r="G752" s="3" t="str">
        <f>VLOOKUP(E752, Ref_GLAccount!$A$2:$D$9, 3, FALSE)</f>
        <v>Other OPEX</v>
      </c>
      <c r="H752" s="6" t="s">
        <v>66</v>
      </c>
      <c r="I752" s="7">
        <v>1472.71</v>
      </c>
      <c r="J752" s="18" t="b">
        <f>IF(tblFactFinance[[#This Row],[MonthStart]] &lt;= Inputs!$B$1, TRUE, FALSE)</f>
        <v>1</v>
      </c>
    </row>
    <row r="753" spans="1:10" x14ac:dyDescent="0.3">
      <c r="A753" s="15">
        <v>45931</v>
      </c>
      <c r="B753" s="17" t="s">
        <v>63</v>
      </c>
      <c r="C753" s="3" t="s">
        <v>2</v>
      </c>
      <c r="D753" s="3" t="str">
        <f>VLOOKUP(C753, Ref_Department!$A$2:$D$6, 2, FALSE)</f>
        <v>Lending</v>
      </c>
      <c r="E753" s="3" t="s">
        <v>12</v>
      </c>
      <c r="F753" s="3" t="str">
        <f>VLOOKUP(E753, Ref_GLAccount!$A$2:$D$9, 2, FALSE)</f>
        <v>Training &amp; Development</v>
      </c>
      <c r="G753" s="3" t="str">
        <f>VLOOKUP(E753, Ref_GLAccount!$A$2:$D$9, 3, FALSE)</f>
        <v>Other OPEX</v>
      </c>
      <c r="H753" s="6" t="s">
        <v>70</v>
      </c>
      <c r="I753" s="7">
        <v>1456</v>
      </c>
      <c r="J753" s="18" t="b">
        <f>IF(tblFactFinance[[#This Row],[MonthStart]] &lt;= Inputs!$B$1, TRUE, FALSE)</f>
        <v>1</v>
      </c>
    </row>
    <row r="754" spans="1:10" x14ac:dyDescent="0.3">
      <c r="A754" s="15">
        <v>45931</v>
      </c>
      <c r="B754" s="17" t="s">
        <v>63</v>
      </c>
      <c r="C754" s="3" t="s">
        <v>3</v>
      </c>
      <c r="D754" s="3" t="str">
        <f>VLOOKUP(C754, Ref_Department!$A$2:$D$6, 2, FALSE)</f>
        <v>Information Technology</v>
      </c>
      <c r="E754" s="3" t="s">
        <v>33</v>
      </c>
      <c r="F754" s="3" t="str">
        <f>VLOOKUP(E754, Ref_GLAccount!$A$2:$D$9, 2, FALSE)</f>
        <v>Salaries</v>
      </c>
      <c r="G754" s="3" t="str">
        <f>VLOOKUP(E754, Ref_GLAccount!$A$2:$D$9, 3, FALSE)</f>
        <v>Personnel</v>
      </c>
      <c r="H754" s="6" t="s">
        <v>66</v>
      </c>
      <c r="I754" s="7">
        <v>148627.51999999999</v>
      </c>
      <c r="J754" s="18" t="b">
        <f>IF(tblFactFinance[[#This Row],[MonthStart]] &lt;= Inputs!$B$1, TRUE, FALSE)</f>
        <v>1</v>
      </c>
    </row>
    <row r="755" spans="1:10" x14ac:dyDescent="0.3">
      <c r="A755" s="15">
        <v>45931</v>
      </c>
      <c r="B755" s="17" t="s">
        <v>63</v>
      </c>
      <c r="C755" s="3" t="s">
        <v>3</v>
      </c>
      <c r="D755" s="3" t="str">
        <f>VLOOKUP(C755, Ref_Department!$A$2:$D$6, 2, FALSE)</f>
        <v>Information Technology</v>
      </c>
      <c r="E755" s="3" t="s">
        <v>33</v>
      </c>
      <c r="F755" s="3" t="str">
        <f>VLOOKUP(E755, Ref_GLAccount!$A$2:$D$9, 2, FALSE)</f>
        <v>Salaries</v>
      </c>
      <c r="G755" s="3" t="str">
        <f>VLOOKUP(E755, Ref_GLAccount!$A$2:$D$9, 3, FALSE)</f>
        <v>Personnel</v>
      </c>
      <c r="H755" s="6" t="s">
        <v>70</v>
      </c>
      <c r="I755" s="7">
        <v>151410</v>
      </c>
      <c r="J755" s="18" t="b">
        <f>IF(tblFactFinance[[#This Row],[MonthStart]] &lt;= Inputs!$B$1, TRUE, FALSE)</f>
        <v>1</v>
      </c>
    </row>
    <row r="756" spans="1:10" x14ac:dyDescent="0.3">
      <c r="A756" s="15">
        <v>45931</v>
      </c>
      <c r="B756" s="17" t="s">
        <v>63</v>
      </c>
      <c r="C756" s="3" t="s">
        <v>3</v>
      </c>
      <c r="D756" s="3" t="str">
        <f>VLOOKUP(C756, Ref_Department!$A$2:$D$6, 2, FALSE)</f>
        <v>Information Technology</v>
      </c>
      <c r="E756" s="3" t="s">
        <v>37</v>
      </c>
      <c r="F756" s="3" t="str">
        <f>VLOOKUP(E756, Ref_GLAccount!$A$2:$D$9, 2, FALSE)</f>
        <v>Benefits</v>
      </c>
      <c r="G756" s="3" t="str">
        <f>VLOOKUP(E756, Ref_GLAccount!$A$2:$D$9, 3, FALSE)</f>
        <v>Personnel</v>
      </c>
      <c r="H756" s="6" t="s">
        <v>66</v>
      </c>
      <c r="I756" s="7">
        <v>32286.34</v>
      </c>
      <c r="J756" s="18" t="b">
        <f>IF(tblFactFinance[[#This Row],[MonthStart]] &lt;= Inputs!$B$1, TRUE, FALSE)</f>
        <v>1</v>
      </c>
    </row>
    <row r="757" spans="1:10" x14ac:dyDescent="0.3">
      <c r="A757" s="15">
        <v>45931</v>
      </c>
      <c r="B757" s="17" t="s">
        <v>63</v>
      </c>
      <c r="C757" s="3" t="s">
        <v>3</v>
      </c>
      <c r="D757" s="3" t="str">
        <f>VLOOKUP(C757, Ref_Department!$A$2:$D$6, 2, FALSE)</f>
        <v>Information Technology</v>
      </c>
      <c r="E757" s="3" t="s">
        <v>37</v>
      </c>
      <c r="F757" s="3" t="str">
        <f>VLOOKUP(E757, Ref_GLAccount!$A$2:$D$9, 2, FALSE)</f>
        <v>Benefits</v>
      </c>
      <c r="G757" s="3" t="str">
        <f>VLOOKUP(E757, Ref_GLAccount!$A$2:$D$9, 3, FALSE)</f>
        <v>Personnel</v>
      </c>
      <c r="H757" s="6" t="s">
        <v>70</v>
      </c>
      <c r="I757" s="7">
        <v>33310.199999999997</v>
      </c>
      <c r="J757" s="18" t="b">
        <f>IF(tblFactFinance[[#This Row],[MonthStart]] &lt;= Inputs!$B$1, TRUE, FALSE)</f>
        <v>1</v>
      </c>
    </row>
    <row r="758" spans="1:10" x14ac:dyDescent="0.3">
      <c r="A758" s="15">
        <v>45931</v>
      </c>
      <c r="B758" s="17" t="s">
        <v>63</v>
      </c>
      <c r="C758" s="3" t="s">
        <v>3</v>
      </c>
      <c r="D758" s="3" t="str">
        <f>VLOOKUP(C758, Ref_Department!$A$2:$D$6, 2, FALSE)</f>
        <v>Information Technology</v>
      </c>
      <c r="E758" s="3" t="s">
        <v>7</v>
      </c>
      <c r="F758" s="3" t="str">
        <f>VLOOKUP(E758, Ref_GLAccount!$A$2:$D$9, 2, FALSE)</f>
        <v>Occupancy &amp; Facilities</v>
      </c>
      <c r="G758" s="3" t="str">
        <f>VLOOKUP(E758, Ref_GLAccount!$A$2:$D$9, 3, FALSE)</f>
        <v>Facilities</v>
      </c>
      <c r="H758" s="6" t="s">
        <v>66</v>
      </c>
      <c r="I758" s="7">
        <v>8726.85</v>
      </c>
      <c r="J758" s="18" t="b">
        <f>IF(tblFactFinance[[#This Row],[MonthStart]] &lt;= Inputs!$B$1, TRUE, FALSE)</f>
        <v>1</v>
      </c>
    </row>
    <row r="759" spans="1:10" x14ac:dyDescent="0.3">
      <c r="A759" s="15">
        <v>45931</v>
      </c>
      <c r="B759" s="17" t="s">
        <v>63</v>
      </c>
      <c r="C759" s="3" t="s">
        <v>3</v>
      </c>
      <c r="D759" s="3" t="str">
        <f>VLOOKUP(C759, Ref_Department!$A$2:$D$6, 2, FALSE)</f>
        <v>Information Technology</v>
      </c>
      <c r="E759" s="3" t="s">
        <v>7</v>
      </c>
      <c r="F759" s="3" t="str">
        <f>VLOOKUP(E759, Ref_GLAccount!$A$2:$D$9, 2, FALSE)</f>
        <v>Occupancy &amp; Facilities</v>
      </c>
      <c r="G759" s="3" t="str">
        <f>VLOOKUP(E759, Ref_GLAccount!$A$2:$D$9, 3, FALSE)</f>
        <v>Facilities</v>
      </c>
      <c r="H759" s="6" t="s">
        <v>70</v>
      </c>
      <c r="I759" s="7">
        <v>9000</v>
      </c>
      <c r="J759" s="18" t="b">
        <f>IF(tblFactFinance[[#This Row],[MonthStart]] &lt;= Inputs!$B$1, TRUE, FALSE)</f>
        <v>1</v>
      </c>
    </row>
    <row r="760" spans="1:10" x14ac:dyDescent="0.3">
      <c r="A760" s="15">
        <v>45931</v>
      </c>
      <c r="B760" s="17" t="s">
        <v>63</v>
      </c>
      <c r="C760" s="3" t="s">
        <v>3</v>
      </c>
      <c r="D760" s="3" t="str">
        <f>VLOOKUP(C760, Ref_Department!$A$2:$D$6, 2, FALSE)</f>
        <v>Information Technology</v>
      </c>
      <c r="E760" s="3" t="s">
        <v>8</v>
      </c>
      <c r="F760" s="3" t="str">
        <f>VLOOKUP(E760, Ref_GLAccount!$A$2:$D$9, 2, FALSE)</f>
        <v>IT Software &amp; Subscriptions</v>
      </c>
      <c r="G760" s="3" t="str">
        <f>VLOOKUP(E760, Ref_GLAccount!$A$2:$D$9, 3, FALSE)</f>
        <v>IT</v>
      </c>
      <c r="H760" s="6" t="s">
        <v>66</v>
      </c>
      <c r="I760" s="7">
        <v>46801.69</v>
      </c>
      <c r="J760" s="18" t="b">
        <f>IF(tblFactFinance[[#This Row],[MonthStart]] &lt;= Inputs!$B$1, TRUE, FALSE)</f>
        <v>1</v>
      </c>
    </row>
    <row r="761" spans="1:10" x14ac:dyDescent="0.3">
      <c r="A761" s="15">
        <v>45931</v>
      </c>
      <c r="B761" s="17" t="s">
        <v>63</v>
      </c>
      <c r="C761" s="3" t="s">
        <v>3</v>
      </c>
      <c r="D761" s="3" t="str">
        <f>VLOOKUP(C761, Ref_Department!$A$2:$D$6, 2, FALSE)</f>
        <v>Information Technology</v>
      </c>
      <c r="E761" s="3" t="s">
        <v>8</v>
      </c>
      <c r="F761" s="3" t="str">
        <f>VLOOKUP(E761, Ref_GLAccount!$A$2:$D$9, 2, FALSE)</f>
        <v>IT Software &amp; Subscriptions</v>
      </c>
      <c r="G761" s="3" t="str">
        <f>VLOOKUP(E761, Ref_GLAccount!$A$2:$D$9, 3, FALSE)</f>
        <v>IT</v>
      </c>
      <c r="H761" s="6" t="s">
        <v>70</v>
      </c>
      <c r="I761" s="7">
        <v>43680</v>
      </c>
      <c r="J761" s="18" t="b">
        <f>IF(tblFactFinance[[#This Row],[MonthStart]] &lt;= Inputs!$B$1, TRUE, FALSE)</f>
        <v>1</v>
      </c>
    </row>
    <row r="762" spans="1:10" x14ac:dyDescent="0.3">
      <c r="A762" s="15">
        <v>45931</v>
      </c>
      <c r="B762" s="17" t="s">
        <v>63</v>
      </c>
      <c r="C762" s="3" t="s">
        <v>3</v>
      </c>
      <c r="D762" s="3" t="str">
        <f>VLOOKUP(C762, Ref_Department!$A$2:$D$6, 2, FALSE)</f>
        <v>Information Technology</v>
      </c>
      <c r="E762" s="3" t="s">
        <v>9</v>
      </c>
      <c r="F762" s="3" t="str">
        <f>VLOOKUP(E762, Ref_GLAccount!$A$2:$D$9, 2, FALSE)</f>
        <v>Marketing &amp; Advertising</v>
      </c>
      <c r="G762" s="3" t="str">
        <f>VLOOKUP(E762, Ref_GLAccount!$A$2:$D$9, 3, FALSE)</f>
        <v>Marketing</v>
      </c>
      <c r="H762" s="6" t="s">
        <v>66</v>
      </c>
      <c r="I762" s="7">
        <v>1550.04</v>
      </c>
      <c r="J762" s="18" t="b">
        <f>IF(tblFactFinance[[#This Row],[MonthStart]] &lt;= Inputs!$B$1, TRUE, FALSE)</f>
        <v>1</v>
      </c>
    </row>
    <row r="763" spans="1:10" x14ac:dyDescent="0.3">
      <c r="A763" s="15">
        <v>45931</v>
      </c>
      <c r="B763" s="17" t="s">
        <v>63</v>
      </c>
      <c r="C763" s="3" t="s">
        <v>3</v>
      </c>
      <c r="D763" s="3" t="str">
        <f>VLOOKUP(C763, Ref_Department!$A$2:$D$6, 2, FALSE)</f>
        <v>Information Technology</v>
      </c>
      <c r="E763" s="3" t="s">
        <v>9</v>
      </c>
      <c r="F763" s="3" t="str">
        <f>VLOOKUP(E763, Ref_GLAccount!$A$2:$D$9, 2, FALSE)</f>
        <v>Marketing &amp; Advertising</v>
      </c>
      <c r="G763" s="3" t="str">
        <f>VLOOKUP(E763, Ref_GLAccount!$A$2:$D$9, 3, FALSE)</f>
        <v>Marketing</v>
      </c>
      <c r="H763" s="6" t="s">
        <v>70</v>
      </c>
      <c r="I763" s="7">
        <v>1560</v>
      </c>
      <c r="J763" s="18" t="b">
        <f>IF(tblFactFinance[[#This Row],[MonthStart]] &lt;= Inputs!$B$1, TRUE, FALSE)</f>
        <v>1</v>
      </c>
    </row>
    <row r="764" spans="1:10" x14ac:dyDescent="0.3">
      <c r="A764" s="15">
        <v>45931</v>
      </c>
      <c r="B764" s="17" t="s">
        <v>63</v>
      </c>
      <c r="C764" s="3" t="s">
        <v>3</v>
      </c>
      <c r="D764" s="3" t="str">
        <f>VLOOKUP(C764, Ref_Department!$A$2:$D$6, 2, FALSE)</f>
        <v>Information Technology</v>
      </c>
      <c r="E764" s="3" t="s">
        <v>10</v>
      </c>
      <c r="F764" s="3" t="str">
        <f>VLOOKUP(E764, Ref_GLAccount!$A$2:$D$9, 2, FALSE)</f>
        <v>Professional Services</v>
      </c>
      <c r="G764" s="3" t="str">
        <f>VLOOKUP(E764, Ref_GLAccount!$A$2:$D$9, 3, FALSE)</f>
        <v>Professional Services</v>
      </c>
      <c r="H764" s="6" t="s">
        <v>66</v>
      </c>
      <c r="I764" s="7">
        <v>12065.7</v>
      </c>
      <c r="J764" s="18" t="b">
        <f>IF(tblFactFinance[[#This Row],[MonthStart]] &lt;= Inputs!$B$1, TRUE, FALSE)</f>
        <v>1</v>
      </c>
    </row>
    <row r="765" spans="1:10" x14ac:dyDescent="0.3">
      <c r="A765" s="15">
        <v>45931</v>
      </c>
      <c r="B765" s="17" t="s">
        <v>63</v>
      </c>
      <c r="C765" s="3" t="s">
        <v>3</v>
      </c>
      <c r="D765" s="3" t="str">
        <f>VLOOKUP(C765, Ref_Department!$A$2:$D$6, 2, FALSE)</f>
        <v>Information Technology</v>
      </c>
      <c r="E765" s="3" t="s">
        <v>10</v>
      </c>
      <c r="F765" s="3" t="str">
        <f>VLOOKUP(E765, Ref_GLAccount!$A$2:$D$9, 2, FALSE)</f>
        <v>Professional Services</v>
      </c>
      <c r="G765" s="3" t="str">
        <f>VLOOKUP(E765, Ref_GLAccount!$A$2:$D$9, 3, FALSE)</f>
        <v>Professional Services</v>
      </c>
      <c r="H765" s="6" t="s">
        <v>70</v>
      </c>
      <c r="I765" s="7">
        <v>12480</v>
      </c>
      <c r="J765" s="18" t="b">
        <f>IF(tblFactFinance[[#This Row],[MonthStart]] &lt;= Inputs!$B$1, TRUE, FALSE)</f>
        <v>1</v>
      </c>
    </row>
    <row r="766" spans="1:10" x14ac:dyDescent="0.3">
      <c r="A766" s="15">
        <v>45931</v>
      </c>
      <c r="B766" s="17" t="s">
        <v>63</v>
      </c>
      <c r="C766" s="3" t="s">
        <v>3</v>
      </c>
      <c r="D766" s="3" t="str">
        <f>VLOOKUP(C766, Ref_Department!$A$2:$D$6, 2, FALSE)</f>
        <v>Information Technology</v>
      </c>
      <c r="E766" s="3" t="s">
        <v>11</v>
      </c>
      <c r="F766" s="3" t="str">
        <f>VLOOKUP(E766, Ref_GLAccount!$A$2:$D$9, 2, FALSE)</f>
        <v>Office Supplies</v>
      </c>
      <c r="G766" s="3" t="str">
        <f>VLOOKUP(E766, Ref_GLAccount!$A$2:$D$9, 3, FALSE)</f>
        <v>Other OPEX</v>
      </c>
      <c r="H766" s="6" t="s">
        <v>66</v>
      </c>
      <c r="I766" s="7">
        <v>819.59</v>
      </c>
      <c r="J766" s="18" t="b">
        <f>IF(tblFactFinance[[#This Row],[MonthStart]] &lt;= Inputs!$B$1, TRUE, FALSE)</f>
        <v>1</v>
      </c>
    </row>
    <row r="767" spans="1:10" x14ac:dyDescent="0.3">
      <c r="A767" s="15">
        <v>45931</v>
      </c>
      <c r="B767" s="17" t="s">
        <v>63</v>
      </c>
      <c r="C767" s="3" t="s">
        <v>3</v>
      </c>
      <c r="D767" s="3" t="str">
        <f>VLOOKUP(C767, Ref_Department!$A$2:$D$6, 2, FALSE)</f>
        <v>Information Technology</v>
      </c>
      <c r="E767" s="3" t="s">
        <v>11</v>
      </c>
      <c r="F767" s="3" t="str">
        <f>VLOOKUP(E767, Ref_GLAccount!$A$2:$D$9, 2, FALSE)</f>
        <v>Office Supplies</v>
      </c>
      <c r="G767" s="3" t="str">
        <f>VLOOKUP(E767, Ref_GLAccount!$A$2:$D$9, 3, FALSE)</f>
        <v>Other OPEX</v>
      </c>
      <c r="H767" s="6" t="s">
        <v>70</v>
      </c>
      <c r="I767" s="7">
        <v>832</v>
      </c>
      <c r="J767" s="18" t="b">
        <f>IF(tblFactFinance[[#This Row],[MonthStart]] &lt;= Inputs!$B$1, TRUE, FALSE)</f>
        <v>1</v>
      </c>
    </row>
    <row r="768" spans="1:10" x14ac:dyDescent="0.3">
      <c r="A768" s="15">
        <v>45931</v>
      </c>
      <c r="B768" s="17" t="s">
        <v>63</v>
      </c>
      <c r="C768" s="3" t="s">
        <v>3</v>
      </c>
      <c r="D768" s="3" t="str">
        <f>VLOOKUP(C768, Ref_Department!$A$2:$D$6, 2, FALSE)</f>
        <v>Information Technology</v>
      </c>
      <c r="E768" s="3" t="s">
        <v>12</v>
      </c>
      <c r="F768" s="3" t="str">
        <f>VLOOKUP(E768, Ref_GLAccount!$A$2:$D$9, 2, FALSE)</f>
        <v>Training &amp; Development</v>
      </c>
      <c r="G768" s="3" t="str">
        <f>VLOOKUP(E768, Ref_GLAccount!$A$2:$D$9, 3, FALSE)</f>
        <v>Other OPEX</v>
      </c>
      <c r="H768" s="6" t="s">
        <v>66</v>
      </c>
      <c r="I768" s="7">
        <v>1943.46</v>
      </c>
      <c r="J768" s="18" t="b">
        <f>IF(tblFactFinance[[#This Row],[MonthStart]] &lt;= Inputs!$B$1, TRUE, FALSE)</f>
        <v>1</v>
      </c>
    </row>
    <row r="769" spans="1:10" x14ac:dyDescent="0.3">
      <c r="A769" s="15">
        <v>45931</v>
      </c>
      <c r="B769" s="17" t="s">
        <v>63</v>
      </c>
      <c r="C769" s="3" t="s">
        <v>3</v>
      </c>
      <c r="D769" s="3" t="str">
        <f>VLOOKUP(C769, Ref_Department!$A$2:$D$6, 2, FALSE)</f>
        <v>Information Technology</v>
      </c>
      <c r="E769" s="3" t="s">
        <v>12</v>
      </c>
      <c r="F769" s="3" t="str">
        <f>VLOOKUP(E769, Ref_GLAccount!$A$2:$D$9, 2, FALSE)</f>
        <v>Training &amp; Development</v>
      </c>
      <c r="G769" s="3" t="str">
        <f>VLOOKUP(E769, Ref_GLAccount!$A$2:$D$9, 3, FALSE)</f>
        <v>Other OPEX</v>
      </c>
      <c r="H769" s="6" t="s">
        <v>70</v>
      </c>
      <c r="I769" s="7">
        <v>1872</v>
      </c>
      <c r="J769" s="18" t="b">
        <f>IF(tblFactFinance[[#This Row],[MonthStart]] &lt;= Inputs!$B$1, TRUE, FALSE)</f>
        <v>1</v>
      </c>
    </row>
    <row r="770" spans="1:10" x14ac:dyDescent="0.3">
      <c r="A770" s="15">
        <v>45931</v>
      </c>
      <c r="B770" s="17" t="s">
        <v>63</v>
      </c>
      <c r="C770" s="3" t="s">
        <v>4</v>
      </c>
      <c r="D770" s="3" t="str">
        <f>VLOOKUP(C770, Ref_Department!$A$2:$D$6, 2, FALSE)</f>
        <v>Marketing</v>
      </c>
      <c r="E770" s="3" t="s">
        <v>33</v>
      </c>
      <c r="F770" s="3" t="str">
        <f>VLOOKUP(E770, Ref_GLAccount!$A$2:$D$9, 2, FALSE)</f>
        <v>Salaries</v>
      </c>
      <c r="G770" s="3" t="str">
        <f>VLOOKUP(E770, Ref_GLAccount!$A$2:$D$9, 3, FALSE)</f>
        <v>Personnel</v>
      </c>
      <c r="H770" s="6" t="s">
        <v>66</v>
      </c>
      <c r="I770" s="7">
        <v>62611.93</v>
      </c>
      <c r="J770" s="18" t="b">
        <f>IF(tblFactFinance[[#This Row],[MonthStart]] &lt;= Inputs!$B$1, TRUE, FALSE)</f>
        <v>1</v>
      </c>
    </row>
    <row r="771" spans="1:10" x14ac:dyDescent="0.3">
      <c r="A771" s="15">
        <v>45931</v>
      </c>
      <c r="B771" s="17" t="s">
        <v>63</v>
      </c>
      <c r="C771" s="3" t="s">
        <v>4</v>
      </c>
      <c r="D771" s="3" t="str">
        <f>VLOOKUP(C771, Ref_Department!$A$2:$D$6, 2, FALSE)</f>
        <v>Marketing</v>
      </c>
      <c r="E771" s="3" t="s">
        <v>33</v>
      </c>
      <c r="F771" s="3" t="str">
        <f>VLOOKUP(E771, Ref_GLAccount!$A$2:$D$9, 2, FALSE)</f>
        <v>Salaries</v>
      </c>
      <c r="G771" s="3" t="str">
        <f>VLOOKUP(E771, Ref_GLAccount!$A$2:$D$9, 3, FALSE)</f>
        <v>Personnel</v>
      </c>
      <c r="H771" s="6" t="s">
        <v>70</v>
      </c>
      <c r="I771" s="7">
        <v>64375</v>
      </c>
      <c r="J771" s="18" t="b">
        <f>IF(tblFactFinance[[#This Row],[MonthStart]] &lt;= Inputs!$B$1, TRUE, FALSE)</f>
        <v>1</v>
      </c>
    </row>
    <row r="772" spans="1:10" x14ac:dyDescent="0.3">
      <c r="A772" s="15">
        <v>45931</v>
      </c>
      <c r="B772" s="17" t="s">
        <v>63</v>
      </c>
      <c r="C772" s="3" t="s">
        <v>4</v>
      </c>
      <c r="D772" s="3" t="str">
        <f>VLOOKUP(C772, Ref_Department!$A$2:$D$6, 2, FALSE)</f>
        <v>Marketing</v>
      </c>
      <c r="E772" s="3" t="s">
        <v>37</v>
      </c>
      <c r="F772" s="3" t="str">
        <f>VLOOKUP(E772, Ref_GLAccount!$A$2:$D$9, 2, FALSE)</f>
        <v>Benefits</v>
      </c>
      <c r="G772" s="3" t="str">
        <f>VLOOKUP(E772, Ref_GLAccount!$A$2:$D$9, 3, FALSE)</f>
        <v>Personnel</v>
      </c>
      <c r="H772" s="6" t="s">
        <v>66</v>
      </c>
      <c r="I772" s="7">
        <v>14435.47</v>
      </c>
      <c r="J772" s="18" t="b">
        <f>IF(tblFactFinance[[#This Row],[MonthStart]] &lt;= Inputs!$B$1, TRUE, FALSE)</f>
        <v>1</v>
      </c>
    </row>
    <row r="773" spans="1:10" x14ac:dyDescent="0.3">
      <c r="A773" s="15">
        <v>45931</v>
      </c>
      <c r="B773" s="17" t="s">
        <v>63</v>
      </c>
      <c r="C773" s="3" t="s">
        <v>4</v>
      </c>
      <c r="D773" s="3" t="str">
        <f>VLOOKUP(C773, Ref_Department!$A$2:$D$6, 2, FALSE)</f>
        <v>Marketing</v>
      </c>
      <c r="E773" s="3" t="s">
        <v>37</v>
      </c>
      <c r="F773" s="3" t="str">
        <f>VLOOKUP(E773, Ref_GLAccount!$A$2:$D$9, 2, FALSE)</f>
        <v>Benefits</v>
      </c>
      <c r="G773" s="3" t="str">
        <f>VLOOKUP(E773, Ref_GLAccount!$A$2:$D$9, 3, FALSE)</f>
        <v>Personnel</v>
      </c>
      <c r="H773" s="6" t="s">
        <v>70</v>
      </c>
      <c r="I773" s="7">
        <v>14162.5</v>
      </c>
      <c r="J773" s="18" t="b">
        <f>IF(tblFactFinance[[#This Row],[MonthStart]] &lt;= Inputs!$B$1, TRUE, FALSE)</f>
        <v>1</v>
      </c>
    </row>
    <row r="774" spans="1:10" x14ac:dyDescent="0.3">
      <c r="A774" s="15">
        <v>45931</v>
      </c>
      <c r="B774" s="17" t="s">
        <v>63</v>
      </c>
      <c r="C774" s="3" t="s">
        <v>4</v>
      </c>
      <c r="D774" s="3" t="str">
        <f>VLOOKUP(C774, Ref_Department!$A$2:$D$6, 2, FALSE)</f>
        <v>Marketing</v>
      </c>
      <c r="E774" s="3" t="s">
        <v>7</v>
      </c>
      <c r="F774" s="3" t="str">
        <f>VLOOKUP(E774, Ref_GLAccount!$A$2:$D$9, 2, FALSE)</f>
        <v>Occupancy &amp; Facilities</v>
      </c>
      <c r="G774" s="3" t="str">
        <f>VLOOKUP(E774, Ref_GLAccount!$A$2:$D$9, 3, FALSE)</f>
        <v>Facilities</v>
      </c>
      <c r="H774" s="6" t="s">
        <v>66</v>
      </c>
      <c r="I774" s="7">
        <v>6174.69</v>
      </c>
      <c r="J774" s="18" t="b">
        <f>IF(tblFactFinance[[#This Row],[MonthStart]] &lt;= Inputs!$B$1, TRUE, FALSE)</f>
        <v>1</v>
      </c>
    </row>
    <row r="775" spans="1:10" x14ac:dyDescent="0.3">
      <c r="A775" s="15">
        <v>45931</v>
      </c>
      <c r="B775" s="17" t="s">
        <v>63</v>
      </c>
      <c r="C775" s="3" t="s">
        <v>4</v>
      </c>
      <c r="D775" s="3" t="str">
        <f>VLOOKUP(C775, Ref_Department!$A$2:$D$6, 2, FALSE)</f>
        <v>Marketing</v>
      </c>
      <c r="E775" s="3" t="s">
        <v>7</v>
      </c>
      <c r="F775" s="3" t="str">
        <f>VLOOKUP(E775, Ref_GLAccount!$A$2:$D$9, 2, FALSE)</f>
        <v>Occupancy &amp; Facilities</v>
      </c>
      <c r="G775" s="3" t="str">
        <f>VLOOKUP(E775, Ref_GLAccount!$A$2:$D$9, 3, FALSE)</f>
        <v>Facilities</v>
      </c>
      <c r="H775" s="6" t="s">
        <v>70</v>
      </c>
      <c r="I775" s="7">
        <v>6000</v>
      </c>
      <c r="J775" s="18" t="b">
        <f>IF(tblFactFinance[[#This Row],[MonthStart]] &lt;= Inputs!$B$1, TRUE, FALSE)</f>
        <v>1</v>
      </c>
    </row>
    <row r="776" spans="1:10" x14ac:dyDescent="0.3">
      <c r="A776" s="15">
        <v>45931</v>
      </c>
      <c r="B776" s="17" t="s">
        <v>63</v>
      </c>
      <c r="C776" s="3" t="s">
        <v>4</v>
      </c>
      <c r="D776" s="3" t="str">
        <f>VLOOKUP(C776, Ref_Department!$A$2:$D$6, 2, FALSE)</f>
        <v>Marketing</v>
      </c>
      <c r="E776" s="3" t="s">
        <v>8</v>
      </c>
      <c r="F776" s="3" t="str">
        <f>VLOOKUP(E776, Ref_GLAccount!$A$2:$D$9, 2, FALSE)</f>
        <v>IT Software &amp; Subscriptions</v>
      </c>
      <c r="G776" s="3" t="str">
        <f>VLOOKUP(E776, Ref_GLAccount!$A$2:$D$9, 3, FALSE)</f>
        <v>IT</v>
      </c>
      <c r="H776" s="6" t="s">
        <v>66</v>
      </c>
      <c r="I776" s="7">
        <v>7498.14</v>
      </c>
      <c r="J776" s="18" t="b">
        <f>IF(tblFactFinance[[#This Row],[MonthStart]] &lt;= Inputs!$B$1, TRUE, FALSE)</f>
        <v>1</v>
      </c>
    </row>
    <row r="777" spans="1:10" x14ac:dyDescent="0.3">
      <c r="A777" s="15">
        <v>45931</v>
      </c>
      <c r="B777" s="17" t="s">
        <v>63</v>
      </c>
      <c r="C777" s="3" t="s">
        <v>4</v>
      </c>
      <c r="D777" s="3" t="str">
        <f>VLOOKUP(C777, Ref_Department!$A$2:$D$6, 2, FALSE)</f>
        <v>Marketing</v>
      </c>
      <c r="E777" s="3" t="s">
        <v>8</v>
      </c>
      <c r="F777" s="3" t="str">
        <f>VLOOKUP(E777, Ref_GLAccount!$A$2:$D$9, 2, FALSE)</f>
        <v>IT Software &amp; Subscriptions</v>
      </c>
      <c r="G777" s="3" t="str">
        <f>VLOOKUP(E777, Ref_GLAccount!$A$2:$D$9, 3, FALSE)</f>
        <v>IT</v>
      </c>
      <c r="H777" s="6" t="s">
        <v>70</v>
      </c>
      <c r="I777" s="7">
        <v>7280</v>
      </c>
      <c r="J777" s="18" t="b">
        <f>IF(tblFactFinance[[#This Row],[MonthStart]] &lt;= Inputs!$B$1, TRUE, FALSE)</f>
        <v>1</v>
      </c>
    </row>
    <row r="778" spans="1:10" x14ac:dyDescent="0.3">
      <c r="A778" s="15">
        <v>45931</v>
      </c>
      <c r="B778" s="17" t="s">
        <v>63</v>
      </c>
      <c r="C778" s="3" t="s">
        <v>4</v>
      </c>
      <c r="D778" s="3" t="str">
        <f>VLOOKUP(C778, Ref_Department!$A$2:$D$6, 2, FALSE)</f>
        <v>Marketing</v>
      </c>
      <c r="E778" s="3" t="s">
        <v>9</v>
      </c>
      <c r="F778" s="3" t="str">
        <f>VLOOKUP(E778, Ref_GLAccount!$A$2:$D$9, 2, FALSE)</f>
        <v>Marketing &amp; Advertising</v>
      </c>
      <c r="G778" s="3" t="str">
        <f>VLOOKUP(E778, Ref_GLAccount!$A$2:$D$9, 3, FALSE)</f>
        <v>Marketing</v>
      </c>
      <c r="H778" s="6" t="s">
        <v>66</v>
      </c>
      <c r="I778" s="7">
        <v>30750.36</v>
      </c>
      <c r="J778" s="18" t="b">
        <f>IF(tblFactFinance[[#This Row],[MonthStart]] &lt;= Inputs!$B$1, TRUE, FALSE)</f>
        <v>1</v>
      </c>
    </row>
    <row r="779" spans="1:10" x14ac:dyDescent="0.3">
      <c r="A779" s="15">
        <v>45931</v>
      </c>
      <c r="B779" s="17" t="s">
        <v>63</v>
      </c>
      <c r="C779" s="3" t="s">
        <v>4</v>
      </c>
      <c r="D779" s="3" t="str">
        <f>VLOOKUP(C779, Ref_Department!$A$2:$D$6, 2, FALSE)</f>
        <v>Marketing</v>
      </c>
      <c r="E779" s="3" t="s">
        <v>9</v>
      </c>
      <c r="F779" s="3" t="str">
        <f>VLOOKUP(E779, Ref_GLAccount!$A$2:$D$9, 2, FALSE)</f>
        <v>Marketing &amp; Advertising</v>
      </c>
      <c r="G779" s="3" t="str">
        <f>VLOOKUP(E779, Ref_GLAccount!$A$2:$D$9, 3, FALSE)</f>
        <v>Marketing</v>
      </c>
      <c r="H779" s="6" t="s">
        <v>70</v>
      </c>
      <c r="I779" s="7">
        <v>29120</v>
      </c>
      <c r="J779" s="18" t="b">
        <f>IF(tblFactFinance[[#This Row],[MonthStart]] &lt;= Inputs!$B$1, TRUE, FALSE)</f>
        <v>1</v>
      </c>
    </row>
    <row r="780" spans="1:10" x14ac:dyDescent="0.3">
      <c r="A780" s="15">
        <v>45931</v>
      </c>
      <c r="B780" s="17" t="s">
        <v>63</v>
      </c>
      <c r="C780" s="3" t="s">
        <v>4</v>
      </c>
      <c r="D780" s="3" t="str">
        <f>VLOOKUP(C780, Ref_Department!$A$2:$D$6, 2, FALSE)</f>
        <v>Marketing</v>
      </c>
      <c r="E780" s="3" t="s">
        <v>10</v>
      </c>
      <c r="F780" s="3" t="str">
        <f>VLOOKUP(E780, Ref_GLAccount!$A$2:$D$9, 2, FALSE)</f>
        <v>Professional Services</v>
      </c>
      <c r="G780" s="3" t="str">
        <f>VLOOKUP(E780, Ref_GLAccount!$A$2:$D$9, 3, FALSE)</f>
        <v>Professional Services</v>
      </c>
      <c r="H780" s="6" t="s">
        <v>66</v>
      </c>
      <c r="I780" s="7">
        <v>6102.6</v>
      </c>
      <c r="J780" s="18" t="b">
        <f>IF(tblFactFinance[[#This Row],[MonthStart]] &lt;= Inputs!$B$1, TRUE, FALSE)</f>
        <v>1</v>
      </c>
    </row>
    <row r="781" spans="1:10" x14ac:dyDescent="0.3">
      <c r="A781" s="15">
        <v>45931</v>
      </c>
      <c r="B781" s="17" t="s">
        <v>63</v>
      </c>
      <c r="C781" s="3" t="s">
        <v>4</v>
      </c>
      <c r="D781" s="3" t="str">
        <f>VLOOKUP(C781, Ref_Department!$A$2:$D$6, 2, FALSE)</f>
        <v>Marketing</v>
      </c>
      <c r="E781" s="3" t="s">
        <v>10</v>
      </c>
      <c r="F781" s="3" t="str">
        <f>VLOOKUP(E781, Ref_GLAccount!$A$2:$D$9, 2, FALSE)</f>
        <v>Professional Services</v>
      </c>
      <c r="G781" s="3" t="str">
        <f>VLOOKUP(E781, Ref_GLAccount!$A$2:$D$9, 3, FALSE)</f>
        <v>Professional Services</v>
      </c>
      <c r="H781" s="6" t="s">
        <v>70</v>
      </c>
      <c r="I781" s="7">
        <v>6240</v>
      </c>
      <c r="J781" s="18" t="b">
        <f>IF(tblFactFinance[[#This Row],[MonthStart]] &lt;= Inputs!$B$1, TRUE, FALSE)</f>
        <v>1</v>
      </c>
    </row>
    <row r="782" spans="1:10" x14ac:dyDescent="0.3">
      <c r="A782" s="15">
        <v>45931</v>
      </c>
      <c r="B782" s="17" t="s">
        <v>63</v>
      </c>
      <c r="C782" s="3" t="s">
        <v>4</v>
      </c>
      <c r="D782" s="3" t="str">
        <f>VLOOKUP(C782, Ref_Department!$A$2:$D$6, 2, FALSE)</f>
        <v>Marketing</v>
      </c>
      <c r="E782" s="3" t="s">
        <v>11</v>
      </c>
      <c r="F782" s="3" t="str">
        <f>VLOOKUP(E782, Ref_GLAccount!$A$2:$D$9, 2, FALSE)</f>
        <v>Office Supplies</v>
      </c>
      <c r="G782" s="3" t="str">
        <f>VLOOKUP(E782, Ref_GLAccount!$A$2:$D$9, 3, FALSE)</f>
        <v>Other OPEX</v>
      </c>
      <c r="H782" s="6" t="s">
        <v>66</v>
      </c>
      <c r="I782" s="7">
        <v>760.99</v>
      </c>
      <c r="J782" s="18" t="b">
        <f>IF(tblFactFinance[[#This Row],[MonthStart]] &lt;= Inputs!$B$1, TRUE, FALSE)</f>
        <v>1</v>
      </c>
    </row>
    <row r="783" spans="1:10" x14ac:dyDescent="0.3">
      <c r="A783" s="15">
        <v>45931</v>
      </c>
      <c r="B783" s="17" t="s">
        <v>63</v>
      </c>
      <c r="C783" s="3" t="s">
        <v>4</v>
      </c>
      <c r="D783" s="3" t="str">
        <f>VLOOKUP(C783, Ref_Department!$A$2:$D$6, 2, FALSE)</f>
        <v>Marketing</v>
      </c>
      <c r="E783" s="3" t="s">
        <v>11</v>
      </c>
      <c r="F783" s="3" t="str">
        <f>VLOOKUP(E783, Ref_GLAccount!$A$2:$D$9, 2, FALSE)</f>
        <v>Office Supplies</v>
      </c>
      <c r="G783" s="3" t="str">
        <f>VLOOKUP(E783, Ref_GLAccount!$A$2:$D$9, 3, FALSE)</f>
        <v>Other OPEX</v>
      </c>
      <c r="H783" s="6" t="s">
        <v>70</v>
      </c>
      <c r="I783" s="7">
        <v>728</v>
      </c>
      <c r="J783" s="18" t="b">
        <f>IF(tblFactFinance[[#This Row],[MonthStart]] &lt;= Inputs!$B$1, TRUE, FALSE)</f>
        <v>1</v>
      </c>
    </row>
    <row r="784" spans="1:10" x14ac:dyDescent="0.3">
      <c r="A784" s="15">
        <v>45931</v>
      </c>
      <c r="B784" s="17" t="s">
        <v>63</v>
      </c>
      <c r="C784" s="3" t="s">
        <v>4</v>
      </c>
      <c r="D784" s="3" t="str">
        <f>VLOOKUP(C784, Ref_Department!$A$2:$D$6, 2, FALSE)</f>
        <v>Marketing</v>
      </c>
      <c r="E784" s="3" t="s">
        <v>12</v>
      </c>
      <c r="F784" s="3" t="str">
        <f>VLOOKUP(E784, Ref_GLAccount!$A$2:$D$9, 2, FALSE)</f>
        <v>Training &amp; Development</v>
      </c>
      <c r="G784" s="3" t="str">
        <f>VLOOKUP(E784, Ref_GLAccount!$A$2:$D$9, 3, FALSE)</f>
        <v>Other OPEX</v>
      </c>
      <c r="H784" s="6" t="s">
        <v>66</v>
      </c>
      <c r="I784" s="7">
        <v>1107.72</v>
      </c>
      <c r="J784" s="18" t="b">
        <f>IF(tblFactFinance[[#This Row],[MonthStart]] &lt;= Inputs!$B$1, TRUE, FALSE)</f>
        <v>1</v>
      </c>
    </row>
    <row r="785" spans="1:10" x14ac:dyDescent="0.3">
      <c r="A785" s="15">
        <v>45931</v>
      </c>
      <c r="B785" s="17" t="s">
        <v>63</v>
      </c>
      <c r="C785" s="3" t="s">
        <v>4</v>
      </c>
      <c r="D785" s="3" t="str">
        <f>VLOOKUP(C785, Ref_Department!$A$2:$D$6, 2, FALSE)</f>
        <v>Marketing</v>
      </c>
      <c r="E785" s="3" t="s">
        <v>12</v>
      </c>
      <c r="F785" s="3" t="str">
        <f>VLOOKUP(E785, Ref_GLAccount!$A$2:$D$9, 2, FALSE)</f>
        <v>Training &amp; Development</v>
      </c>
      <c r="G785" s="3" t="str">
        <f>VLOOKUP(E785, Ref_GLAccount!$A$2:$D$9, 3, FALSE)</f>
        <v>Other OPEX</v>
      </c>
      <c r="H785" s="6" t="s">
        <v>70</v>
      </c>
      <c r="I785" s="7">
        <v>1144</v>
      </c>
      <c r="J785" s="18" t="b">
        <f>IF(tblFactFinance[[#This Row],[MonthStart]] &lt;= Inputs!$B$1, TRUE, FALSE)</f>
        <v>1</v>
      </c>
    </row>
    <row r="786" spans="1:10" x14ac:dyDescent="0.3">
      <c r="A786" s="15">
        <v>45931</v>
      </c>
      <c r="B786" s="17" t="s">
        <v>63</v>
      </c>
      <c r="C786" s="3" t="s">
        <v>5</v>
      </c>
      <c r="D786" s="3" t="str">
        <f>VLOOKUP(C786, Ref_Department!$A$2:$D$6, 2, FALSE)</f>
        <v>Human Resources</v>
      </c>
      <c r="E786" s="3" t="s">
        <v>33</v>
      </c>
      <c r="F786" s="3" t="str">
        <f>VLOOKUP(E786, Ref_GLAccount!$A$2:$D$9, 2, FALSE)</f>
        <v>Salaries</v>
      </c>
      <c r="G786" s="3" t="str">
        <f>VLOOKUP(E786, Ref_GLAccount!$A$2:$D$9, 3, FALSE)</f>
        <v>Personnel</v>
      </c>
      <c r="H786" s="6" t="s">
        <v>66</v>
      </c>
      <c r="I786" s="7">
        <v>52710.45</v>
      </c>
      <c r="J786" s="18" t="b">
        <f>IF(tblFactFinance[[#This Row],[MonthStart]] &lt;= Inputs!$B$1, TRUE, FALSE)</f>
        <v>1</v>
      </c>
    </row>
    <row r="787" spans="1:10" x14ac:dyDescent="0.3">
      <c r="A787" s="15">
        <v>45931</v>
      </c>
      <c r="B787" s="17" t="s">
        <v>63</v>
      </c>
      <c r="C787" s="3" t="s">
        <v>5</v>
      </c>
      <c r="D787" s="3" t="str">
        <f>VLOOKUP(C787, Ref_Department!$A$2:$D$6, 2, FALSE)</f>
        <v>Human Resources</v>
      </c>
      <c r="E787" s="3" t="s">
        <v>33</v>
      </c>
      <c r="F787" s="3" t="str">
        <f>VLOOKUP(E787, Ref_GLAccount!$A$2:$D$9, 2, FALSE)</f>
        <v>Salaries</v>
      </c>
      <c r="G787" s="3" t="str">
        <f>VLOOKUP(E787, Ref_GLAccount!$A$2:$D$9, 3, FALSE)</f>
        <v>Personnel</v>
      </c>
      <c r="H787" s="6" t="s">
        <v>70</v>
      </c>
      <c r="I787" s="7">
        <v>53560</v>
      </c>
      <c r="J787" s="18" t="b">
        <f>IF(tblFactFinance[[#This Row],[MonthStart]] &lt;= Inputs!$B$1, TRUE, FALSE)</f>
        <v>1</v>
      </c>
    </row>
    <row r="788" spans="1:10" x14ac:dyDescent="0.3">
      <c r="A788" s="15">
        <v>45931</v>
      </c>
      <c r="B788" s="17" t="s">
        <v>63</v>
      </c>
      <c r="C788" s="3" t="s">
        <v>5</v>
      </c>
      <c r="D788" s="3" t="str">
        <f>VLOOKUP(C788, Ref_Department!$A$2:$D$6, 2, FALSE)</f>
        <v>Human Resources</v>
      </c>
      <c r="E788" s="3" t="s">
        <v>37</v>
      </c>
      <c r="F788" s="3" t="str">
        <f>VLOOKUP(E788, Ref_GLAccount!$A$2:$D$9, 2, FALSE)</f>
        <v>Benefits</v>
      </c>
      <c r="G788" s="3" t="str">
        <f>VLOOKUP(E788, Ref_GLAccount!$A$2:$D$9, 3, FALSE)</f>
        <v>Personnel</v>
      </c>
      <c r="H788" s="6" t="s">
        <v>66</v>
      </c>
      <c r="I788" s="7">
        <v>12346.95</v>
      </c>
      <c r="J788" s="18" t="b">
        <f>IF(tblFactFinance[[#This Row],[MonthStart]] &lt;= Inputs!$B$1, TRUE, FALSE)</f>
        <v>1</v>
      </c>
    </row>
    <row r="789" spans="1:10" x14ac:dyDescent="0.3">
      <c r="A789" s="15">
        <v>45931</v>
      </c>
      <c r="B789" s="17" t="s">
        <v>63</v>
      </c>
      <c r="C789" s="3" t="s">
        <v>5</v>
      </c>
      <c r="D789" s="3" t="str">
        <f>VLOOKUP(C789, Ref_Department!$A$2:$D$6, 2, FALSE)</f>
        <v>Human Resources</v>
      </c>
      <c r="E789" s="3" t="s">
        <v>37</v>
      </c>
      <c r="F789" s="3" t="str">
        <f>VLOOKUP(E789, Ref_GLAccount!$A$2:$D$9, 2, FALSE)</f>
        <v>Benefits</v>
      </c>
      <c r="G789" s="3" t="str">
        <f>VLOOKUP(E789, Ref_GLAccount!$A$2:$D$9, 3, FALSE)</f>
        <v>Personnel</v>
      </c>
      <c r="H789" s="6" t="s">
        <v>70</v>
      </c>
      <c r="I789" s="7">
        <v>11783.2</v>
      </c>
      <c r="J789" s="18" t="b">
        <f>IF(tblFactFinance[[#This Row],[MonthStart]] &lt;= Inputs!$B$1, TRUE, FALSE)</f>
        <v>1</v>
      </c>
    </row>
    <row r="790" spans="1:10" x14ac:dyDescent="0.3">
      <c r="A790" s="15">
        <v>45931</v>
      </c>
      <c r="B790" s="17" t="s">
        <v>63</v>
      </c>
      <c r="C790" s="3" t="s">
        <v>5</v>
      </c>
      <c r="D790" s="3" t="str">
        <f>VLOOKUP(C790, Ref_Department!$A$2:$D$6, 2, FALSE)</f>
        <v>Human Resources</v>
      </c>
      <c r="E790" s="3" t="s">
        <v>7</v>
      </c>
      <c r="F790" s="3" t="str">
        <f>VLOOKUP(E790, Ref_GLAccount!$A$2:$D$9, 2, FALSE)</f>
        <v>Occupancy &amp; Facilities</v>
      </c>
      <c r="G790" s="3" t="str">
        <f>VLOOKUP(E790, Ref_GLAccount!$A$2:$D$9, 3, FALSE)</f>
        <v>Facilities</v>
      </c>
      <c r="H790" s="6" t="s">
        <v>66</v>
      </c>
      <c r="I790" s="7">
        <v>4131.58</v>
      </c>
      <c r="J790" s="18" t="b">
        <f>IF(tblFactFinance[[#This Row],[MonthStart]] &lt;= Inputs!$B$1, TRUE, FALSE)</f>
        <v>1</v>
      </c>
    </row>
    <row r="791" spans="1:10" x14ac:dyDescent="0.3">
      <c r="A791" s="15">
        <v>45931</v>
      </c>
      <c r="B791" s="17" t="s">
        <v>63</v>
      </c>
      <c r="C791" s="3" t="s">
        <v>5</v>
      </c>
      <c r="D791" s="3" t="str">
        <f>VLOOKUP(C791, Ref_Department!$A$2:$D$6, 2, FALSE)</f>
        <v>Human Resources</v>
      </c>
      <c r="E791" s="3" t="s">
        <v>7</v>
      </c>
      <c r="F791" s="3" t="str">
        <f>VLOOKUP(E791, Ref_GLAccount!$A$2:$D$9, 2, FALSE)</f>
        <v>Occupancy &amp; Facilities</v>
      </c>
      <c r="G791" s="3" t="str">
        <f>VLOOKUP(E791, Ref_GLAccount!$A$2:$D$9, 3, FALSE)</f>
        <v>Facilities</v>
      </c>
      <c r="H791" s="6" t="s">
        <v>70</v>
      </c>
      <c r="I791" s="7">
        <v>4000</v>
      </c>
      <c r="J791" s="18" t="b">
        <f>IF(tblFactFinance[[#This Row],[MonthStart]] &lt;= Inputs!$B$1, TRUE, FALSE)</f>
        <v>1</v>
      </c>
    </row>
    <row r="792" spans="1:10" x14ac:dyDescent="0.3">
      <c r="A792" s="15">
        <v>45931</v>
      </c>
      <c r="B792" s="17" t="s">
        <v>63</v>
      </c>
      <c r="C792" s="3" t="s">
        <v>5</v>
      </c>
      <c r="D792" s="3" t="str">
        <f>VLOOKUP(C792, Ref_Department!$A$2:$D$6, 2, FALSE)</f>
        <v>Human Resources</v>
      </c>
      <c r="E792" s="3" t="s">
        <v>8</v>
      </c>
      <c r="F792" s="3" t="str">
        <f>VLOOKUP(E792, Ref_GLAccount!$A$2:$D$9, 2, FALSE)</f>
        <v>IT Software &amp; Subscriptions</v>
      </c>
      <c r="G792" s="3" t="str">
        <f>VLOOKUP(E792, Ref_GLAccount!$A$2:$D$9, 3, FALSE)</f>
        <v>IT</v>
      </c>
      <c r="H792" s="6" t="s">
        <v>66</v>
      </c>
      <c r="I792" s="7">
        <v>5200.4399999999996</v>
      </c>
      <c r="J792" s="18" t="b">
        <f>IF(tblFactFinance[[#This Row],[MonthStart]] &lt;= Inputs!$B$1, TRUE, FALSE)</f>
        <v>1</v>
      </c>
    </row>
    <row r="793" spans="1:10" x14ac:dyDescent="0.3">
      <c r="A793" s="15">
        <v>45931</v>
      </c>
      <c r="B793" s="17" t="s">
        <v>63</v>
      </c>
      <c r="C793" s="3" t="s">
        <v>5</v>
      </c>
      <c r="D793" s="3" t="str">
        <f>VLOOKUP(C793, Ref_Department!$A$2:$D$6, 2, FALSE)</f>
        <v>Human Resources</v>
      </c>
      <c r="E793" s="3" t="s">
        <v>8</v>
      </c>
      <c r="F793" s="3" t="str">
        <f>VLOOKUP(E793, Ref_GLAccount!$A$2:$D$9, 2, FALSE)</f>
        <v>IT Software &amp; Subscriptions</v>
      </c>
      <c r="G793" s="3" t="str">
        <f>VLOOKUP(E793, Ref_GLAccount!$A$2:$D$9, 3, FALSE)</f>
        <v>IT</v>
      </c>
      <c r="H793" s="6" t="s">
        <v>70</v>
      </c>
      <c r="I793" s="7">
        <v>5200</v>
      </c>
      <c r="J793" s="18" t="b">
        <f>IF(tblFactFinance[[#This Row],[MonthStart]] &lt;= Inputs!$B$1, TRUE, FALSE)</f>
        <v>1</v>
      </c>
    </row>
    <row r="794" spans="1:10" x14ac:dyDescent="0.3">
      <c r="A794" s="15">
        <v>45931</v>
      </c>
      <c r="B794" s="17" t="s">
        <v>63</v>
      </c>
      <c r="C794" s="3" t="s">
        <v>5</v>
      </c>
      <c r="D794" s="3" t="str">
        <f>VLOOKUP(C794, Ref_Department!$A$2:$D$6, 2, FALSE)</f>
        <v>Human Resources</v>
      </c>
      <c r="E794" s="3" t="s">
        <v>9</v>
      </c>
      <c r="F794" s="3" t="str">
        <f>VLOOKUP(E794, Ref_GLAccount!$A$2:$D$9, 2, FALSE)</f>
        <v>Marketing &amp; Advertising</v>
      </c>
      <c r="G794" s="3" t="str">
        <f>VLOOKUP(E794, Ref_GLAccount!$A$2:$D$9, 3, FALSE)</f>
        <v>Marketing</v>
      </c>
      <c r="H794" s="6" t="s">
        <v>66</v>
      </c>
      <c r="I794" s="7">
        <v>1188.52</v>
      </c>
      <c r="J794" s="18" t="b">
        <f>IF(tblFactFinance[[#This Row],[MonthStart]] &lt;= Inputs!$B$1, TRUE, FALSE)</f>
        <v>1</v>
      </c>
    </row>
    <row r="795" spans="1:10" x14ac:dyDescent="0.3">
      <c r="A795" s="15">
        <v>45931</v>
      </c>
      <c r="B795" s="17" t="s">
        <v>63</v>
      </c>
      <c r="C795" s="3" t="s">
        <v>5</v>
      </c>
      <c r="D795" s="3" t="str">
        <f>VLOOKUP(C795, Ref_Department!$A$2:$D$6, 2, FALSE)</f>
        <v>Human Resources</v>
      </c>
      <c r="E795" s="3" t="s">
        <v>9</v>
      </c>
      <c r="F795" s="3" t="str">
        <f>VLOOKUP(E795, Ref_GLAccount!$A$2:$D$9, 2, FALSE)</f>
        <v>Marketing &amp; Advertising</v>
      </c>
      <c r="G795" s="3" t="str">
        <f>VLOOKUP(E795, Ref_GLAccount!$A$2:$D$9, 3, FALSE)</f>
        <v>Marketing</v>
      </c>
      <c r="H795" s="6" t="s">
        <v>70</v>
      </c>
      <c r="I795" s="7">
        <v>1248</v>
      </c>
      <c r="J795" s="18" t="b">
        <f>IF(tblFactFinance[[#This Row],[MonthStart]] &lt;= Inputs!$B$1, TRUE, FALSE)</f>
        <v>1</v>
      </c>
    </row>
    <row r="796" spans="1:10" x14ac:dyDescent="0.3">
      <c r="A796" s="15">
        <v>45931</v>
      </c>
      <c r="B796" s="17" t="s">
        <v>63</v>
      </c>
      <c r="C796" s="3" t="s">
        <v>5</v>
      </c>
      <c r="D796" s="3" t="str">
        <f>VLOOKUP(C796, Ref_Department!$A$2:$D$6, 2, FALSE)</f>
        <v>Human Resources</v>
      </c>
      <c r="E796" s="3" t="s">
        <v>10</v>
      </c>
      <c r="F796" s="3" t="str">
        <f>VLOOKUP(E796, Ref_GLAccount!$A$2:$D$9, 2, FALSE)</f>
        <v>Professional Services</v>
      </c>
      <c r="G796" s="3" t="str">
        <f>VLOOKUP(E796, Ref_GLAccount!$A$2:$D$9, 3, FALSE)</f>
        <v>Professional Services</v>
      </c>
      <c r="H796" s="6" t="s">
        <v>66</v>
      </c>
      <c r="I796" s="7">
        <v>3721.78</v>
      </c>
      <c r="J796" s="18" t="b">
        <f>IF(tblFactFinance[[#This Row],[MonthStart]] &lt;= Inputs!$B$1, TRUE, FALSE)</f>
        <v>1</v>
      </c>
    </row>
    <row r="797" spans="1:10" x14ac:dyDescent="0.3">
      <c r="A797" s="15">
        <v>45931</v>
      </c>
      <c r="B797" s="17" t="s">
        <v>63</v>
      </c>
      <c r="C797" s="3" t="s">
        <v>5</v>
      </c>
      <c r="D797" s="3" t="str">
        <f>VLOOKUP(C797, Ref_Department!$A$2:$D$6, 2, FALSE)</f>
        <v>Human Resources</v>
      </c>
      <c r="E797" s="3" t="s">
        <v>10</v>
      </c>
      <c r="F797" s="3" t="str">
        <f>VLOOKUP(E797, Ref_GLAccount!$A$2:$D$9, 2, FALSE)</f>
        <v>Professional Services</v>
      </c>
      <c r="G797" s="3" t="str">
        <f>VLOOKUP(E797, Ref_GLAccount!$A$2:$D$9, 3, FALSE)</f>
        <v>Professional Services</v>
      </c>
      <c r="H797" s="6" t="s">
        <v>70</v>
      </c>
      <c r="I797" s="7">
        <v>3640</v>
      </c>
      <c r="J797" s="18" t="b">
        <f>IF(tblFactFinance[[#This Row],[MonthStart]] &lt;= Inputs!$B$1, TRUE, FALSE)</f>
        <v>1</v>
      </c>
    </row>
    <row r="798" spans="1:10" x14ac:dyDescent="0.3">
      <c r="A798" s="15">
        <v>45931</v>
      </c>
      <c r="B798" s="17" t="s">
        <v>63</v>
      </c>
      <c r="C798" s="3" t="s">
        <v>5</v>
      </c>
      <c r="D798" s="3" t="str">
        <f>VLOOKUP(C798, Ref_Department!$A$2:$D$6, 2, FALSE)</f>
        <v>Human Resources</v>
      </c>
      <c r="E798" s="3" t="s">
        <v>11</v>
      </c>
      <c r="F798" s="3" t="str">
        <f>VLOOKUP(E798, Ref_GLAccount!$A$2:$D$9, 2, FALSE)</f>
        <v>Office Supplies</v>
      </c>
      <c r="G798" s="3" t="str">
        <f>VLOOKUP(E798, Ref_GLAccount!$A$2:$D$9, 3, FALSE)</f>
        <v>Other OPEX</v>
      </c>
      <c r="H798" s="6" t="s">
        <v>66</v>
      </c>
      <c r="I798" s="7">
        <v>608.27</v>
      </c>
      <c r="J798" s="18" t="b">
        <f>IF(tblFactFinance[[#This Row],[MonthStart]] &lt;= Inputs!$B$1, TRUE, FALSE)</f>
        <v>1</v>
      </c>
    </row>
    <row r="799" spans="1:10" x14ac:dyDescent="0.3">
      <c r="A799" s="15">
        <v>45931</v>
      </c>
      <c r="B799" s="17" t="s">
        <v>63</v>
      </c>
      <c r="C799" s="3" t="s">
        <v>5</v>
      </c>
      <c r="D799" s="3" t="str">
        <f>VLOOKUP(C799, Ref_Department!$A$2:$D$6, 2, FALSE)</f>
        <v>Human Resources</v>
      </c>
      <c r="E799" s="3" t="s">
        <v>11</v>
      </c>
      <c r="F799" s="3" t="str">
        <f>VLOOKUP(E799, Ref_GLAccount!$A$2:$D$9, 2, FALSE)</f>
        <v>Office Supplies</v>
      </c>
      <c r="G799" s="3" t="str">
        <f>VLOOKUP(E799, Ref_GLAccount!$A$2:$D$9, 3, FALSE)</f>
        <v>Other OPEX</v>
      </c>
      <c r="H799" s="6" t="s">
        <v>70</v>
      </c>
      <c r="I799" s="7">
        <v>624</v>
      </c>
      <c r="J799" s="18" t="b">
        <f>IF(tblFactFinance[[#This Row],[MonthStart]] &lt;= Inputs!$B$1, TRUE, FALSE)</f>
        <v>1</v>
      </c>
    </row>
    <row r="800" spans="1:10" x14ac:dyDescent="0.3">
      <c r="A800" s="15">
        <v>45931</v>
      </c>
      <c r="B800" s="17" t="s">
        <v>63</v>
      </c>
      <c r="C800" s="3" t="s">
        <v>5</v>
      </c>
      <c r="D800" s="3" t="str">
        <f>VLOOKUP(C800, Ref_Department!$A$2:$D$6, 2, FALSE)</f>
        <v>Human Resources</v>
      </c>
      <c r="E800" s="3" t="s">
        <v>12</v>
      </c>
      <c r="F800" s="3" t="str">
        <f>VLOOKUP(E800, Ref_GLAccount!$A$2:$D$9, 2, FALSE)</f>
        <v>Training &amp; Development</v>
      </c>
      <c r="G800" s="3" t="str">
        <f>VLOOKUP(E800, Ref_GLAccount!$A$2:$D$9, 3, FALSE)</f>
        <v>Other OPEX</v>
      </c>
      <c r="H800" s="6" t="s">
        <v>66</v>
      </c>
      <c r="I800" s="7">
        <v>1602.51</v>
      </c>
      <c r="J800" s="18" t="b">
        <f>IF(tblFactFinance[[#This Row],[MonthStart]] &lt;= Inputs!$B$1, TRUE, FALSE)</f>
        <v>1</v>
      </c>
    </row>
    <row r="801" spans="1:10" x14ac:dyDescent="0.3">
      <c r="A801" s="15">
        <v>45931</v>
      </c>
      <c r="B801" s="17" t="s">
        <v>63</v>
      </c>
      <c r="C801" s="3" t="s">
        <v>5</v>
      </c>
      <c r="D801" s="3" t="str">
        <f>VLOOKUP(C801, Ref_Department!$A$2:$D$6, 2, FALSE)</f>
        <v>Human Resources</v>
      </c>
      <c r="E801" s="3" t="s">
        <v>12</v>
      </c>
      <c r="F801" s="3" t="str">
        <f>VLOOKUP(E801, Ref_GLAccount!$A$2:$D$9, 2, FALSE)</f>
        <v>Training &amp; Development</v>
      </c>
      <c r="G801" s="3" t="str">
        <f>VLOOKUP(E801, Ref_GLAccount!$A$2:$D$9, 3, FALSE)</f>
        <v>Other OPEX</v>
      </c>
      <c r="H801" s="6" t="s">
        <v>70</v>
      </c>
      <c r="I801" s="7">
        <v>1664</v>
      </c>
      <c r="J801" s="18" t="b">
        <f>IF(tblFactFinance[[#This Row],[MonthStart]] &lt;= Inputs!$B$1, TRUE, FALSE)</f>
        <v>1</v>
      </c>
    </row>
    <row r="802" spans="1:10" x14ac:dyDescent="0.3">
      <c r="A802" s="15">
        <v>45962</v>
      </c>
      <c r="B802" s="17" t="s">
        <v>64</v>
      </c>
      <c r="C802" s="3" t="s">
        <v>1</v>
      </c>
      <c r="D802" s="3" t="str">
        <f>VLOOKUP(C802, Ref_Department!$A$2:$D$6, 2, FALSE)</f>
        <v>Branch Operations</v>
      </c>
      <c r="E802" s="3" t="s">
        <v>33</v>
      </c>
      <c r="F802" s="3" t="str">
        <f>VLOOKUP(E802, Ref_GLAccount!$A$2:$D$9, 2, FALSE)</f>
        <v>Salaries</v>
      </c>
      <c r="G802" s="3" t="str">
        <f>VLOOKUP(E802, Ref_GLAccount!$A$2:$D$9, 3, FALSE)</f>
        <v>Personnel</v>
      </c>
      <c r="H802" s="6" t="s">
        <v>66</v>
      </c>
      <c r="I802" s="7">
        <v>195642.89</v>
      </c>
      <c r="J802" s="18" t="b">
        <f>IF(tblFactFinance[[#This Row],[MonthStart]] &lt;= Inputs!$B$1, TRUE, FALSE)</f>
        <v>0</v>
      </c>
    </row>
    <row r="803" spans="1:10" x14ac:dyDescent="0.3">
      <c r="A803" s="15">
        <v>45962</v>
      </c>
      <c r="B803" s="17" t="s">
        <v>64</v>
      </c>
      <c r="C803" s="3" t="s">
        <v>1</v>
      </c>
      <c r="D803" s="3" t="str">
        <f>VLOOKUP(C803, Ref_Department!$A$2:$D$6, 2, FALSE)</f>
        <v>Branch Operations</v>
      </c>
      <c r="E803" s="3" t="s">
        <v>33</v>
      </c>
      <c r="F803" s="3" t="str">
        <f>VLOOKUP(E803, Ref_GLAccount!$A$2:$D$9, 2, FALSE)</f>
        <v>Salaries</v>
      </c>
      <c r="G803" s="3" t="str">
        <f>VLOOKUP(E803, Ref_GLAccount!$A$2:$D$9, 3, FALSE)</f>
        <v>Personnel</v>
      </c>
      <c r="H803" s="6" t="s">
        <v>70</v>
      </c>
      <c r="I803" s="7">
        <v>200850</v>
      </c>
      <c r="J803" s="18" t="b">
        <f>IF(tblFactFinance[[#This Row],[MonthStart]] &lt;= Inputs!$B$1, TRUE, FALSE)</f>
        <v>0</v>
      </c>
    </row>
    <row r="804" spans="1:10" x14ac:dyDescent="0.3">
      <c r="A804" s="15">
        <v>45962</v>
      </c>
      <c r="B804" s="17" t="s">
        <v>64</v>
      </c>
      <c r="C804" s="3" t="s">
        <v>1</v>
      </c>
      <c r="D804" s="3" t="str">
        <f>VLOOKUP(C804, Ref_Department!$A$2:$D$6, 2, FALSE)</f>
        <v>Branch Operations</v>
      </c>
      <c r="E804" s="3" t="s">
        <v>37</v>
      </c>
      <c r="F804" s="3" t="str">
        <f>VLOOKUP(E804, Ref_GLAccount!$A$2:$D$9, 2, FALSE)</f>
        <v>Benefits</v>
      </c>
      <c r="G804" s="3" t="str">
        <f>VLOOKUP(E804, Ref_GLAccount!$A$2:$D$9, 3, FALSE)</f>
        <v>Personnel</v>
      </c>
      <c r="H804" s="6" t="s">
        <v>66</v>
      </c>
      <c r="I804" s="7">
        <v>44622.67</v>
      </c>
      <c r="J804" s="18" t="b">
        <f>IF(tblFactFinance[[#This Row],[MonthStart]] &lt;= Inputs!$B$1, TRUE, FALSE)</f>
        <v>0</v>
      </c>
    </row>
    <row r="805" spans="1:10" x14ac:dyDescent="0.3">
      <c r="A805" s="15">
        <v>45962</v>
      </c>
      <c r="B805" s="17" t="s">
        <v>64</v>
      </c>
      <c r="C805" s="3" t="s">
        <v>1</v>
      </c>
      <c r="D805" s="3" t="str">
        <f>VLOOKUP(C805, Ref_Department!$A$2:$D$6, 2, FALSE)</f>
        <v>Branch Operations</v>
      </c>
      <c r="E805" s="3" t="s">
        <v>37</v>
      </c>
      <c r="F805" s="3" t="str">
        <f>VLOOKUP(E805, Ref_GLAccount!$A$2:$D$9, 2, FALSE)</f>
        <v>Benefits</v>
      </c>
      <c r="G805" s="3" t="str">
        <f>VLOOKUP(E805, Ref_GLAccount!$A$2:$D$9, 3, FALSE)</f>
        <v>Personnel</v>
      </c>
      <c r="H805" s="6" t="s">
        <v>70</v>
      </c>
      <c r="I805" s="7">
        <v>44187</v>
      </c>
      <c r="J805" s="18" t="b">
        <f>IF(tblFactFinance[[#This Row],[MonthStart]] &lt;= Inputs!$B$1, TRUE, FALSE)</f>
        <v>0</v>
      </c>
    </row>
    <row r="806" spans="1:10" x14ac:dyDescent="0.3">
      <c r="A806" s="15">
        <v>45962</v>
      </c>
      <c r="B806" s="17" t="s">
        <v>64</v>
      </c>
      <c r="C806" s="3" t="s">
        <v>1</v>
      </c>
      <c r="D806" s="3" t="str">
        <f>VLOOKUP(C806, Ref_Department!$A$2:$D$6, 2, FALSE)</f>
        <v>Branch Operations</v>
      </c>
      <c r="E806" s="3" t="s">
        <v>7</v>
      </c>
      <c r="F806" s="3" t="str">
        <f>VLOOKUP(E806, Ref_GLAccount!$A$2:$D$9, 2, FALSE)</f>
        <v>Occupancy &amp; Facilities</v>
      </c>
      <c r="G806" s="3" t="str">
        <f>VLOOKUP(E806, Ref_GLAccount!$A$2:$D$9, 3, FALSE)</f>
        <v>Facilities</v>
      </c>
      <c r="H806" s="6" t="s">
        <v>66</v>
      </c>
      <c r="I806" s="7">
        <v>34776.03</v>
      </c>
      <c r="J806" s="18" t="b">
        <f>IF(tblFactFinance[[#This Row],[MonthStart]] &lt;= Inputs!$B$1, TRUE, FALSE)</f>
        <v>0</v>
      </c>
    </row>
    <row r="807" spans="1:10" x14ac:dyDescent="0.3">
      <c r="A807" s="15">
        <v>45962</v>
      </c>
      <c r="B807" s="17" t="s">
        <v>64</v>
      </c>
      <c r="C807" s="3" t="s">
        <v>1</v>
      </c>
      <c r="D807" s="3" t="str">
        <f>VLOOKUP(C807, Ref_Department!$A$2:$D$6, 2, FALSE)</f>
        <v>Branch Operations</v>
      </c>
      <c r="E807" s="3" t="s">
        <v>7</v>
      </c>
      <c r="F807" s="3" t="str">
        <f>VLOOKUP(E807, Ref_GLAccount!$A$2:$D$9, 2, FALSE)</f>
        <v>Occupancy &amp; Facilities</v>
      </c>
      <c r="G807" s="3" t="str">
        <f>VLOOKUP(E807, Ref_GLAccount!$A$2:$D$9, 3, FALSE)</f>
        <v>Facilities</v>
      </c>
      <c r="H807" s="6" t="s">
        <v>70</v>
      </c>
      <c r="I807" s="7">
        <v>38000</v>
      </c>
      <c r="J807" s="18" t="b">
        <f>IF(tblFactFinance[[#This Row],[MonthStart]] &lt;= Inputs!$B$1, TRUE, FALSE)</f>
        <v>0</v>
      </c>
    </row>
    <row r="808" spans="1:10" x14ac:dyDescent="0.3">
      <c r="A808" s="15">
        <v>45962</v>
      </c>
      <c r="B808" s="17" t="s">
        <v>64</v>
      </c>
      <c r="C808" s="3" t="s">
        <v>1</v>
      </c>
      <c r="D808" s="3" t="str">
        <f>VLOOKUP(C808, Ref_Department!$A$2:$D$6, 2, FALSE)</f>
        <v>Branch Operations</v>
      </c>
      <c r="E808" s="3" t="s">
        <v>8</v>
      </c>
      <c r="F808" s="3" t="str">
        <f>VLOOKUP(E808, Ref_GLAccount!$A$2:$D$9, 2, FALSE)</f>
        <v>IT Software &amp; Subscriptions</v>
      </c>
      <c r="G808" s="3" t="str">
        <f>VLOOKUP(E808, Ref_GLAccount!$A$2:$D$9, 3, FALSE)</f>
        <v>IT</v>
      </c>
      <c r="H808" s="6" t="s">
        <v>66</v>
      </c>
      <c r="I808" s="7">
        <v>12660.09</v>
      </c>
      <c r="J808" s="18" t="b">
        <f>IF(tblFactFinance[[#This Row],[MonthStart]] &lt;= Inputs!$B$1, TRUE, FALSE)</f>
        <v>0</v>
      </c>
    </row>
    <row r="809" spans="1:10" x14ac:dyDescent="0.3">
      <c r="A809" s="15">
        <v>45962</v>
      </c>
      <c r="B809" s="17" t="s">
        <v>64</v>
      </c>
      <c r="C809" s="3" t="s">
        <v>1</v>
      </c>
      <c r="D809" s="3" t="str">
        <f>VLOOKUP(C809, Ref_Department!$A$2:$D$6, 2, FALSE)</f>
        <v>Branch Operations</v>
      </c>
      <c r="E809" s="3" t="s">
        <v>8</v>
      </c>
      <c r="F809" s="3" t="str">
        <f>VLOOKUP(E809, Ref_GLAccount!$A$2:$D$9, 2, FALSE)</f>
        <v>IT Software &amp; Subscriptions</v>
      </c>
      <c r="G809" s="3" t="str">
        <f>VLOOKUP(E809, Ref_GLAccount!$A$2:$D$9, 3, FALSE)</f>
        <v>IT</v>
      </c>
      <c r="H809" s="6" t="s">
        <v>70</v>
      </c>
      <c r="I809" s="7">
        <v>12480</v>
      </c>
      <c r="J809" s="18" t="b">
        <f>IF(tblFactFinance[[#This Row],[MonthStart]] &lt;= Inputs!$B$1, TRUE, FALSE)</f>
        <v>0</v>
      </c>
    </row>
    <row r="810" spans="1:10" x14ac:dyDescent="0.3">
      <c r="A810" s="15">
        <v>45962</v>
      </c>
      <c r="B810" s="17" t="s">
        <v>64</v>
      </c>
      <c r="C810" s="3" t="s">
        <v>1</v>
      </c>
      <c r="D810" s="3" t="str">
        <f>VLOOKUP(C810, Ref_Department!$A$2:$D$6, 2, FALSE)</f>
        <v>Branch Operations</v>
      </c>
      <c r="E810" s="3" t="s">
        <v>9</v>
      </c>
      <c r="F810" s="3" t="str">
        <f>VLOOKUP(E810, Ref_GLAccount!$A$2:$D$9, 2, FALSE)</f>
        <v>Marketing &amp; Advertising</v>
      </c>
      <c r="G810" s="3" t="str">
        <f>VLOOKUP(E810, Ref_GLAccount!$A$2:$D$9, 3, FALSE)</f>
        <v>Marketing</v>
      </c>
      <c r="H810" s="6" t="s">
        <v>66</v>
      </c>
      <c r="I810" s="7">
        <v>5445.62</v>
      </c>
      <c r="J810" s="18" t="b">
        <f>IF(tblFactFinance[[#This Row],[MonthStart]] &lt;= Inputs!$B$1, TRUE, FALSE)</f>
        <v>0</v>
      </c>
    </row>
    <row r="811" spans="1:10" x14ac:dyDescent="0.3">
      <c r="A811" s="15">
        <v>45962</v>
      </c>
      <c r="B811" s="17" t="s">
        <v>64</v>
      </c>
      <c r="C811" s="3" t="s">
        <v>1</v>
      </c>
      <c r="D811" s="3" t="str">
        <f>VLOOKUP(C811, Ref_Department!$A$2:$D$6, 2, FALSE)</f>
        <v>Branch Operations</v>
      </c>
      <c r="E811" s="3" t="s">
        <v>9</v>
      </c>
      <c r="F811" s="3" t="str">
        <f>VLOOKUP(E811, Ref_GLAccount!$A$2:$D$9, 2, FALSE)</f>
        <v>Marketing &amp; Advertising</v>
      </c>
      <c r="G811" s="3" t="str">
        <f>VLOOKUP(E811, Ref_GLAccount!$A$2:$D$9, 3, FALSE)</f>
        <v>Marketing</v>
      </c>
      <c r="H811" s="6" t="s">
        <v>70</v>
      </c>
      <c r="I811" s="7">
        <v>5408</v>
      </c>
      <c r="J811" s="18" t="b">
        <f>IF(tblFactFinance[[#This Row],[MonthStart]] &lt;= Inputs!$B$1, TRUE, FALSE)</f>
        <v>0</v>
      </c>
    </row>
    <row r="812" spans="1:10" x14ac:dyDescent="0.3">
      <c r="A812" s="15">
        <v>45962</v>
      </c>
      <c r="B812" s="17" t="s">
        <v>64</v>
      </c>
      <c r="C812" s="3" t="s">
        <v>1</v>
      </c>
      <c r="D812" s="3" t="str">
        <f>VLOOKUP(C812, Ref_Department!$A$2:$D$6, 2, FALSE)</f>
        <v>Branch Operations</v>
      </c>
      <c r="E812" s="3" t="s">
        <v>10</v>
      </c>
      <c r="F812" s="3" t="str">
        <f>VLOOKUP(E812, Ref_GLAccount!$A$2:$D$9, 2, FALSE)</f>
        <v>Professional Services</v>
      </c>
      <c r="G812" s="3" t="str">
        <f>VLOOKUP(E812, Ref_GLAccount!$A$2:$D$9, 3, FALSE)</f>
        <v>Professional Services</v>
      </c>
      <c r="H812" s="6" t="s">
        <v>66</v>
      </c>
      <c r="I812" s="7">
        <v>5078.42</v>
      </c>
      <c r="J812" s="18" t="b">
        <f>IF(tblFactFinance[[#This Row],[MonthStart]] &lt;= Inputs!$B$1, TRUE, FALSE)</f>
        <v>0</v>
      </c>
    </row>
    <row r="813" spans="1:10" x14ac:dyDescent="0.3">
      <c r="A813" s="15">
        <v>45962</v>
      </c>
      <c r="B813" s="17" t="s">
        <v>64</v>
      </c>
      <c r="C813" s="3" t="s">
        <v>1</v>
      </c>
      <c r="D813" s="3" t="str">
        <f>VLOOKUP(C813, Ref_Department!$A$2:$D$6, 2, FALSE)</f>
        <v>Branch Operations</v>
      </c>
      <c r="E813" s="3" t="s">
        <v>10</v>
      </c>
      <c r="F813" s="3" t="str">
        <f>VLOOKUP(E813, Ref_GLAccount!$A$2:$D$9, 2, FALSE)</f>
        <v>Professional Services</v>
      </c>
      <c r="G813" s="3" t="str">
        <f>VLOOKUP(E813, Ref_GLAccount!$A$2:$D$9, 3, FALSE)</f>
        <v>Professional Services</v>
      </c>
      <c r="H813" s="6" t="s">
        <v>70</v>
      </c>
      <c r="I813" s="7">
        <v>5200</v>
      </c>
      <c r="J813" s="18" t="b">
        <f>IF(tblFactFinance[[#This Row],[MonthStart]] &lt;= Inputs!$B$1, TRUE, FALSE)</f>
        <v>0</v>
      </c>
    </row>
    <row r="814" spans="1:10" x14ac:dyDescent="0.3">
      <c r="A814" s="15">
        <v>45962</v>
      </c>
      <c r="B814" s="17" t="s">
        <v>64</v>
      </c>
      <c r="C814" s="3" t="s">
        <v>1</v>
      </c>
      <c r="D814" s="3" t="str">
        <f>VLOOKUP(C814, Ref_Department!$A$2:$D$6, 2, FALSE)</f>
        <v>Branch Operations</v>
      </c>
      <c r="E814" s="3" t="s">
        <v>11</v>
      </c>
      <c r="F814" s="3" t="str">
        <f>VLOOKUP(E814, Ref_GLAccount!$A$2:$D$9, 2, FALSE)</f>
        <v>Office Supplies</v>
      </c>
      <c r="G814" s="3" t="str">
        <f>VLOOKUP(E814, Ref_GLAccount!$A$2:$D$9, 3, FALSE)</f>
        <v>Other OPEX</v>
      </c>
      <c r="H814" s="6" t="s">
        <v>66</v>
      </c>
      <c r="I814" s="7">
        <v>1624.7</v>
      </c>
      <c r="J814" s="18" t="b">
        <f>IF(tblFactFinance[[#This Row],[MonthStart]] &lt;= Inputs!$B$1, TRUE, FALSE)</f>
        <v>0</v>
      </c>
    </row>
    <row r="815" spans="1:10" x14ac:dyDescent="0.3">
      <c r="A815" s="15">
        <v>45962</v>
      </c>
      <c r="B815" s="17" t="s">
        <v>64</v>
      </c>
      <c r="C815" s="3" t="s">
        <v>1</v>
      </c>
      <c r="D815" s="3" t="str">
        <f>VLOOKUP(C815, Ref_Department!$A$2:$D$6, 2, FALSE)</f>
        <v>Branch Operations</v>
      </c>
      <c r="E815" s="3" t="s">
        <v>11</v>
      </c>
      <c r="F815" s="3" t="str">
        <f>VLOOKUP(E815, Ref_GLAccount!$A$2:$D$9, 2, FALSE)</f>
        <v>Office Supplies</v>
      </c>
      <c r="G815" s="3" t="str">
        <f>VLOOKUP(E815, Ref_GLAccount!$A$2:$D$9, 3, FALSE)</f>
        <v>Other OPEX</v>
      </c>
      <c r="H815" s="6" t="s">
        <v>70</v>
      </c>
      <c r="I815" s="7">
        <v>1560</v>
      </c>
      <c r="J815" s="18" t="b">
        <f>IF(tblFactFinance[[#This Row],[MonthStart]] &lt;= Inputs!$B$1, TRUE, FALSE)</f>
        <v>0</v>
      </c>
    </row>
    <row r="816" spans="1:10" x14ac:dyDescent="0.3">
      <c r="A816" s="15">
        <v>45962</v>
      </c>
      <c r="B816" s="17" t="s">
        <v>64</v>
      </c>
      <c r="C816" s="3" t="s">
        <v>1</v>
      </c>
      <c r="D816" s="3" t="str">
        <f>VLOOKUP(C816, Ref_Department!$A$2:$D$6, 2, FALSE)</f>
        <v>Branch Operations</v>
      </c>
      <c r="E816" s="3" t="s">
        <v>12</v>
      </c>
      <c r="F816" s="3" t="str">
        <f>VLOOKUP(E816, Ref_GLAccount!$A$2:$D$9, 2, FALSE)</f>
        <v>Training &amp; Development</v>
      </c>
      <c r="G816" s="3" t="str">
        <f>VLOOKUP(E816, Ref_GLAccount!$A$2:$D$9, 3, FALSE)</f>
        <v>Other OPEX</v>
      </c>
      <c r="H816" s="6" t="s">
        <v>66</v>
      </c>
      <c r="I816" s="7">
        <v>1278.52</v>
      </c>
      <c r="J816" s="18" t="b">
        <f>IF(tblFactFinance[[#This Row],[MonthStart]] &lt;= Inputs!$B$1, TRUE, FALSE)</f>
        <v>0</v>
      </c>
    </row>
    <row r="817" spans="1:10" x14ac:dyDescent="0.3">
      <c r="A817" s="15">
        <v>45962</v>
      </c>
      <c r="B817" s="17" t="s">
        <v>64</v>
      </c>
      <c r="C817" s="3" t="s">
        <v>1</v>
      </c>
      <c r="D817" s="3" t="str">
        <f>VLOOKUP(C817, Ref_Department!$A$2:$D$6, 2, FALSE)</f>
        <v>Branch Operations</v>
      </c>
      <c r="E817" s="3" t="s">
        <v>12</v>
      </c>
      <c r="F817" s="3" t="str">
        <f>VLOOKUP(E817, Ref_GLAccount!$A$2:$D$9, 2, FALSE)</f>
        <v>Training &amp; Development</v>
      </c>
      <c r="G817" s="3" t="str">
        <f>VLOOKUP(E817, Ref_GLAccount!$A$2:$D$9, 3, FALSE)</f>
        <v>Other OPEX</v>
      </c>
      <c r="H817" s="6" t="s">
        <v>70</v>
      </c>
      <c r="I817" s="7">
        <v>1248</v>
      </c>
      <c r="J817" s="18" t="b">
        <f>IF(tblFactFinance[[#This Row],[MonthStart]] &lt;= Inputs!$B$1, TRUE, FALSE)</f>
        <v>0</v>
      </c>
    </row>
    <row r="818" spans="1:10" x14ac:dyDescent="0.3">
      <c r="A818" s="15">
        <v>45962</v>
      </c>
      <c r="B818" s="17" t="s">
        <v>64</v>
      </c>
      <c r="C818" s="3" t="s">
        <v>2</v>
      </c>
      <c r="D818" s="3" t="str">
        <f>VLOOKUP(C818, Ref_Department!$A$2:$D$6, 2, FALSE)</f>
        <v>Lending</v>
      </c>
      <c r="E818" s="3" t="s">
        <v>33</v>
      </c>
      <c r="F818" s="3" t="str">
        <f>VLOOKUP(E818, Ref_GLAccount!$A$2:$D$9, 2, FALSE)</f>
        <v>Salaries</v>
      </c>
      <c r="G818" s="3" t="str">
        <f>VLOOKUP(E818, Ref_GLAccount!$A$2:$D$9, 3, FALSE)</f>
        <v>Personnel</v>
      </c>
      <c r="H818" s="6" t="s">
        <v>66</v>
      </c>
      <c r="I818" s="7">
        <v>168843.54</v>
      </c>
      <c r="J818" s="18" t="b">
        <f>IF(tblFactFinance[[#This Row],[MonthStart]] &lt;= Inputs!$B$1, TRUE, FALSE)</f>
        <v>0</v>
      </c>
    </row>
    <row r="819" spans="1:10" x14ac:dyDescent="0.3">
      <c r="A819" s="15">
        <v>45962</v>
      </c>
      <c r="B819" s="17" t="s">
        <v>64</v>
      </c>
      <c r="C819" s="3" t="s">
        <v>2</v>
      </c>
      <c r="D819" s="3" t="str">
        <f>VLOOKUP(C819, Ref_Department!$A$2:$D$6, 2, FALSE)</f>
        <v>Lending</v>
      </c>
      <c r="E819" s="3" t="s">
        <v>33</v>
      </c>
      <c r="F819" s="3" t="str">
        <f>VLOOKUP(E819, Ref_GLAccount!$A$2:$D$9, 2, FALSE)</f>
        <v>Salaries</v>
      </c>
      <c r="G819" s="3" t="str">
        <f>VLOOKUP(E819, Ref_GLAccount!$A$2:$D$9, 3, FALSE)</f>
        <v>Personnel</v>
      </c>
      <c r="H819" s="6" t="s">
        <v>70</v>
      </c>
      <c r="I819" s="7">
        <v>173040</v>
      </c>
      <c r="J819" s="18" t="b">
        <f>IF(tblFactFinance[[#This Row],[MonthStart]] &lt;= Inputs!$B$1, TRUE, FALSE)</f>
        <v>0</v>
      </c>
    </row>
    <row r="820" spans="1:10" x14ac:dyDescent="0.3">
      <c r="A820" s="15">
        <v>45962</v>
      </c>
      <c r="B820" s="17" t="s">
        <v>64</v>
      </c>
      <c r="C820" s="3" t="s">
        <v>2</v>
      </c>
      <c r="D820" s="3" t="str">
        <f>VLOOKUP(C820, Ref_Department!$A$2:$D$6, 2, FALSE)</f>
        <v>Lending</v>
      </c>
      <c r="E820" s="3" t="s">
        <v>37</v>
      </c>
      <c r="F820" s="3" t="str">
        <f>VLOOKUP(E820, Ref_GLAccount!$A$2:$D$9, 2, FALSE)</f>
        <v>Benefits</v>
      </c>
      <c r="G820" s="3" t="str">
        <f>VLOOKUP(E820, Ref_GLAccount!$A$2:$D$9, 3, FALSE)</f>
        <v>Personnel</v>
      </c>
      <c r="H820" s="6" t="s">
        <v>66</v>
      </c>
      <c r="I820" s="7">
        <v>37048.53</v>
      </c>
      <c r="J820" s="18" t="b">
        <f>IF(tblFactFinance[[#This Row],[MonthStart]] &lt;= Inputs!$B$1, TRUE, FALSE)</f>
        <v>0</v>
      </c>
    </row>
    <row r="821" spans="1:10" x14ac:dyDescent="0.3">
      <c r="A821" s="15">
        <v>45962</v>
      </c>
      <c r="B821" s="17" t="s">
        <v>64</v>
      </c>
      <c r="C821" s="3" t="s">
        <v>2</v>
      </c>
      <c r="D821" s="3" t="str">
        <f>VLOOKUP(C821, Ref_Department!$A$2:$D$6, 2, FALSE)</f>
        <v>Lending</v>
      </c>
      <c r="E821" s="3" t="s">
        <v>37</v>
      </c>
      <c r="F821" s="3" t="str">
        <f>VLOOKUP(E821, Ref_GLAccount!$A$2:$D$9, 2, FALSE)</f>
        <v>Benefits</v>
      </c>
      <c r="G821" s="3" t="str">
        <f>VLOOKUP(E821, Ref_GLAccount!$A$2:$D$9, 3, FALSE)</f>
        <v>Personnel</v>
      </c>
      <c r="H821" s="6" t="s">
        <v>70</v>
      </c>
      <c r="I821" s="7">
        <v>38068.800000000003</v>
      </c>
      <c r="J821" s="18" t="b">
        <f>IF(tblFactFinance[[#This Row],[MonthStart]] &lt;= Inputs!$B$1, TRUE, FALSE)</f>
        <v>0</v>
      </c>
    </row>
    <row r="822" spans="1:10" x14ac:dyDescent="0.3">
      <c r="A822" s="15">
        <v>45962</v>
      </c>
      <c r="B822" s="17" t="s">
        <v>64</v>
      </c>
      <c r="C822" s="3" t="s">
        <v>2</v>
      </c>
      <c r="D822" s="3" t="str">
        <f>VLOOKUP(C822, Ref_Department!$A$2:$D$6, 2, FALSE)</f>
        <v>Lending</v>
      </c>
      <c r="E822" s="3" t="s">
        <v>7</v>
      </c>
      <c r="F822" s="3" t="str">
        <f>VLOOKUP(E822, Ref_GLAccount!$A$2:$D$9, 2, FALSE)</f>
        <v>Occupancy &amp; Facilities</v>
      </c>
      <c r="G822" s="3" t="str">
        <f>VLOOKUP(E822, Ref_GLAccount!$A$2:$D$9, 3, FALSE)</f>
        <v>Facilities</v>
      </c>
      <c r="H822" s="6" t="s">
        <v>66</v>
      </c>
      <c r="I822" s="7">
        <v>16444.900000000001</v>
      </c>
      <c r="J822" s="18" t="b">
        <f>IF(tblFactFinance[[#This Row],[MonthStart]] &lt;= Inputs!$B$1, TRUE, FALSE)</f>
        <v>0</v>
      </c>
    </row>
    <row r="823" spans="1:10" x14ac:dyDescent="0.3">
      <c r="A823" s="15">
        <v>45962</v>
      </c>
      <c r="B823" s="17" t="s">
        <v>64</v>
      </c>
      <c r="C823" s="3" t="s">
        <v>2</v>
      </c>
      <c r="D823" s="3" t="str">
        <f>VLOOKUP(C823, Ref_Department!$A$2:$D$6, 2, FALSE)</f>
        <v>Lending</v>
      </c>
      <c r="E823" s="3" t="s">
        <v>7</v>
      </c>
      <c r="F823" s="3" t="str">
        <f>VLOOKUP(E823, Ref_GLAccount!$A$2:$D$9, 2, FALSE)</f>
        <v>Occupancy &amp; Facilities</v>
      </c>
      <c r="G823" s="3" t="str">
        <f>VLOOKUP(E823, Ref_GLAccount!$A$2:$D$9, 3, FALSE)</f>
        <v>Facilities</v>
      </c>
      <c r="H823" s="6" t="s">
        <v>70</v>
      </c>
      <c r="I823" s="7">
        <v>16000</v>
      </c>
      <c r="J823" s="18" t="b">
        <f>IF(tblFactFinance[[#This Row],[MonthStart]] &lt;= Inputs!$B$1, TRUE, FALSE)</f>
        <v>0</v>
      </c>
    </row>
    <row r="824" spans="1:10" x14ac:dyDescent="0.3">
      <c r="A824" s="15">
        <v>45962</v>
      </c>
      <c r="B824" s="17" t="s">
        <v>64</v>
      </c>
      <c r="C824" s="3" t="s">
        <v>2</v>
      </c>
      <c r="D824" s="3" t="str">
        <f>VLOOKUP(C824, Ref_Department!$A$2:$D$6, 2, FALSE)</f>
        <v>Lending</v>
      </c>
      <c r="E824" s="3" t="s">
        <v>8</v>
      </c>
      <c r="F824" s="3" t="str">
        <f>VLOOKUP(E824, Ref_GLAccount!$A$2:$D$9, 2, FALSE)</f>
        <v>IT Software &amp; Subscriptions</v>
      </c>
      <c r="G824" s="3" t="str">
        <f>VLOOKUP(E824, Ref_GLAccount!$A$2:$D$9, 3, FALSE)</f>
        <v>IT</v>
      </c>
      <c r="H824" s="6" t="s">
        <v>66</v>
      </c>
      <c r="I824" s="7">
        <v>8792.3799999999992</v>
      </c>
      <c r="J824" s="18" t="b">
        <f>IF(tblFactFinance[[#This Row],[MonthStart]] &lt;= Inputs!$B$1, TRUE, FALSE)</f>
        <v>0</v>
      </c>
    </row>
    <row r="825" spans="1:10" x14ac:dyDescent="0.3">
      <c r="A825" s="15">
        <v>45962</v>
      </c>
      <c r="B825" s="17" t="s">
        <v>64</v>
      </c>
      <c r="C825" s="3" t="s">
        <v>2</v>
      </c>
      <c r="D825" s="3" t="str">
        <f>VLOOKUP(C825, Ref_Department!$A$2:$D$6, 2, FALSE)</f>
        <v>Lending</v>
      </c>
      <c r="E825" s="3" t="s">
        <v>8</v>
      </c>
      <c r="F825" s="3" t="str">
        <f>VLOOKUP(E825, Ref_GLAccount!$A$2:$D$9, 2, FALSE)</f>
        <v>IT Software &amp; Subscriptions</v>
      </c>
      <c r="G825" s="3" t="str">
        <f>VLOOKUP(E825, Ref_GLAccount!$A$2:$D$9, 3, FALSE)</f>
        <v>IT</v>
      </c>
      <c r="H825" s="6" t="s">
        <v>70</v>
      </c>
      <c r="I825" s="7">
        <v>9360</v>
      </c>
      <c r="J825" s="18" t="b">
        <f>IF(tblFactFinance[[#This Row],[MonthStart]] &lt;= Inputs!$B$1, TRUE, FALSE)</f>
        <v>0</v>
      </c>
    </row>
    <row r="826" spans="1:10" x14ac:dyDescent="0.3">
      <c r="A826" s="15">
        <v>45962</v>
      </c>
      <c r="B826" s="17" t="s">
        <v>64</v>
      </c>
      <c r="C826" s="3" t="s">
        <v>2</v>
      </c>
      <c r="D826" s="3" t="str">
        <f>VLOOKUP(C826, Ref_Department!$A$2:$D$6, 2, FALSE)</f>
        <v>Lending</v>
      </c>
      <c r="E826" s="3" t="s">
        <v>9</v>
      </c>
      <c r="F826" s="3" t="str">
        <f>VLOOKUP(E826, Ref_GLAccount!$A$2:$D$9, 2, FALSE)</f>
        <v>Marketing &amp; Advertising</v>
      </c>
      <c r="G826" s="3" t="str">
        <f>VLOOKUP(E826, Ref_GLAccount!$A$2:$D$9, 3, FALSE)</f>
        <v>Marketing</v>
      </c>
      <c r="H826" s="6" t="s">
        <v>66</v>
      </c>
      <c r="I826" s="7">
        <v>8004.07</v>
      </c>
      <c r="J826" s="18" t="b">
        <f>IF(tblFactFinance[[#This Row],[MonthStart]] &lt;= Inputs!$B$1, TRUE, FALSE)</f>
        <v>0</v>
      </c>
    </row>
    <row r="827" spans="1:10" x14ac:dyDescent="0.3">
      <c r="A827" s="15">
        <v>45962</v>
      </c>
      <c r="B827" s="17" t="s">
        <v>64</v>
      </c>
      <c r="C827" s="3" t="s">
        <v>2</v>
      </c>
      <c r="D827" s="3" t="str">
        <f>VLOOKUP(C827, Ref_Department!$A$2:$D$6, 2, FALSE)</f>
        <v>Lending</v>
      </c>
      <c r="E827" s="3" t="s">
        <v>9</v>
      </c>
      <c r="F827" s="3" t="str">
        <f>VLOOKUP(E827, Ref_GLAccount!$A$2:$D$9, 2, FALSE)</f>
        <v>Marketing &amp; Advertising</v>
      </c>
      <c r="G827" s="3" t="str">
        <f>VLOOKUP(E827, Ref_GLAccount!$A$2:$D$9, 3, FALSE)</f>
        <v>Marketing</v>
      </c>
      <c r="H827" s="6" t="s">
        <v>70</v>
      </c>
      <c r="I827" s="7">
        <v>8112</v>
      </c>
      <c r="J827" s="18" t="b">
        <f>IF(tblFactFinance[[#This Row],[MonthStart]] &lt;= Inputs!$B$1, TRUE, FALSE)</f>
        <v>0</v>
      </c>
    </row>
    <row r="828" spans="1:10" x14ac:dyDescent="0.3">
      <c r="A828" s="15">
        <v>45962</v>
      </c>
      <c r="B828" s="17" t="s">
        <v>64</v>
      </c>
      <c r="C828" s="3" t="s">
        <v>2</v>
      </c>
      <c r="D828" s="3" t="str">
        <f>VLOOKUP(C828, Ref_Department!$A$2:$D$6, 2, FALSE)</f>
        <v>Lending</v>
      </c>
      <c r="E828" s="3" t="s">
        <v>10</v>
      </c>
      <c r="F828" s="3" t="str">
        <f>VLOOKUP(E828, Ref_GLAccount!$A$2:$D$9, 2, FALSE)</f>
        <v>Professional Services</v>
      </c>
      <c r="G828" s="3" t="str">
        <f>VLOOKUP(E828, Ref_GLAccount!$A$2:$D$9, 3, FALSE)</f>
        <v>Professional Services</v>
      </c>
      <c r="H828" s="6" t="s">
        <v>66</v>
      </c>
      <c r="I828" s="7">
        <v>8109.99</v>
      </c>
      <c r="J828" s="18" t="b">
        <f>IF(tblFactFinance[[#This Row],[MonthStart]] &lt;= Inputs!$B$1, TRUE, FALSE)</f>
        <v>0</v>
      </c>
    </row>
    <row r="829" spans="1:10" x14ac:dyDescent="0.3">
      <c r="A829" s="15">
        <v>45962</v>
      </c>
      <c r="B829" s="17" t="s">
        <v>64</v>
      </c>
      <c r="C829" s="3" t="s">
        <v>2</v>
      </c>
      <c r="D829" s="3" t="str">
        <f>VLOOKUP(C829, Ref_Department!$A$2:$D$6, 2, FALSE)</f>
        <v>Lending</v>
      </c>
      <c r="E829" s="3" t="s">
        <v>10</v>
      </c>
      <c r="F829" s="3" t="str">
        <f>VLOOKUP(E829, Ref_GLAccount!$A$2:$D$9, 2, FALSE)</f>
        <v>Professional Services</v>
      </c>
      <c r="G829" s="3" t="str">
        <f>VLOOKUP(E829, Ref_GLAccount!$A$2:$D$9, 3, FALSE)</f>
        <v>Professional Services</v>
      </c>
      <c r="H829" s="6" t="s">
        <v>70</v>
      </c>
      <c r="I829" s="7">
        <v>8320</v>
      </c>
      <c r="J829" s="18" t="b">
        <f>IF(tblFactFinance[[#This Row],[MonthStart]] &lt;= Inputs!$B$1, TRUE, FALSE)</f>
        <v>0</v>
      </c>
    </row>
    <row r="830" spans="1:10" x14ac:dyDescent="0.3">
      <c r="A830" s="15">
        <v>45962</v>
      </c>
      <c r="B830" s="17" t="s">
        <v>64</v>
      </c>
      <c r="C830" s="3" t="s">
        <v>2</v>
      </c>
      <c r="D830" s="3" t="str">
        <f>VLOOKUP(C830, Ref_Department!$A$2:$D$6, 2, FALSE)</f>
        <v>Lending</v>
      </c>
      <c r="E830" s="3" t="s">
        <v>11</v>
      </c>
      <c r="F830" s="3" t="str">
        <f>VLOOKUP(E830, Ref_GLAccount!$A$2:$D$9, 2, FALSE)</f>
        <v>Office Supplies</v>
      </c>
      <c r="G830" s="3" t="str">
        <f>VLOOKUP(E830, Ref_GLAccount!$A$2:$D$9, 3, FALSE)</f>
        <v>Other OPEX</v>
      </c>
      <c r="H830" s="6" t="s">
        <v>66</v>
      </c>
      <c r="I830" s="7">
        <v>938.62</v>
      </c>
      <c r="J830" s="18" t="b">
        <f>IF(tblFactFinance[[#This Row],[MonthStart]] &lt;= Inputs!$B$1, TRUE, FALSE)</f>
        <v>0</v>
      </c>
    </row>
    <row r="831" spans="1:10" x14ac:dyDescent="0.3">
      <c r="A831" s="15">
        <v>45962</v>
      </c>
      <c r="B831" s="17" t="s">
        <v>64</v>
      </c>
      <c r="C831" s="3" t="s">
        <v>2</v>
      </c>
      <c r="D831" s="3" t="str">
        <f>VLOOKUP(C831, Ref_Department!$A$2:$D$6, 2, FALSE)</f>
        <v>Lending</v>
      </c>
      <c r="E831" s="3" t="s">
        <v>11</v>
      </c>
      <c r="F831" s="3" t="str">
        <f>VLOOKUP(E831, Ref_GLAccount!$A$2:$D$9, 2, FALSE)</f>
        <v>Office Supplies</v>
      </c>
      <c r="G831" s="3" t="str">
        <f>VLOOKUP(E831, Ref_GLAccount!$A$2:$D$9, 3, FALSE)</f>
        <v>Other OPEX</v>
      </c>
      <c r="H831" s="6" t="s">
        <v>70</v>
      </c>
      <c r="I831" s="7">
        <v>936</v>
      </c>
      <c r="J831" s="18" t="b">
        <f>IF(tblFactFinance[[#This Row],[MonthStart]] &lt;= Inputs!$B$1, TRUE, FALSE)</f>
        <v>0</v>
      </c>
    </row>
    <row r="832" spans="1:10" x14ac:dyDescent="0.3">
      <c r="A832" s="15">
        <v>45962</v>
      </c>
      <c r="B832" s="17" t="s">
        <v>64</v>
      </c>
      <c r="C832" s="3" t="s">
        <v>2</v>
      </c>
      <c r="D832" s="3" t="str">
        <f>VLOOKUP(C832, Ref_Department!$A$2:$D$6, 2, FALSE)</f>
        <v>Lending</v>
      </c>
      <c r="E832" s="3" t="s">
        <v>12</v>
      </c>
      <c r="F832" s="3" t="str">
        <f>VLOOKUP(E832, Ref_GLAccount!$A$2:$D$9, 2, FALSE)</f>
        <v>Training &amp; Development</v>
      </c>
      <c r="G832" s="3" t="str">
        <f>VLOOKUP(E832, Ref_GLAccount!$A$2:$D$9, 3, FALSE)</f>
        <v>Other OPEX</v>
      </c>
      <c r="H832" s="6" t="s">
        <v>66</v>
      </c>
      <c r="I832" s="7">
        <v>1468.3</v>
      </c>
      <c r="J832" s="18" t="b">
        <f>IF(tblFactFinance[[#This Row],[MonthStart]] &lt;= Inputs!$B$1, TRUE, FALSE)</f>
        <v>0</v>
      </c>
    </row>
    <row r="833" spans="1:10" x14ac:dyDescent="0.3">
      <c r="A833" s="15">
        <v>45962</v>
      </c>
      <c r="B833" s="17" t="s">
        <v>64</v>
      </c>
      <c r="C833" s="3" t="s">
        <v>2</v>
      </c>
      <c r="D833" s="3" t="str">
        <f>VLOOKUP(C833, Ref_Department!$A$2:$D$6, 2, FALSE)</f>
        <v>Lending</v>
      </c>
      <c r="E833" s="3" t="s">
        <v>12</v>
      </c>
      <c r="F833" s="3" t="str">
        <f>VLOOKUP(E833, Ref_GLAccount!$A$2:$D$9, 2, FALSE)</f>
        <v>Training &amp; Development</v>
      </c>
      <c r="G833" s="3" t="str">
        <f>VLOOKUP(E833, Ref_GLAccount!$A$2:$D$9, 3, FALSE)</f>
        <v>Other OPEX</v>
      </c>
      <c r="H833" s="6" t="s">
        <v>70</v>
      </c>
      <c r="I833" s="7">
        <v>1456</v>
      </c>
      <c r="J833" s="18" t="b">
        <f>IF(tblFactFinance[[#This Row],[MonthStart]] &lt;= Inputs!$B$1, TRUE, FALSE)</f>
        <v>0</v>
      </c>
    </row>
    <row r="834" spans="1:10" x14ac:dyDescent="0.3">
      <c r="A834" s="15">
        <v>45962</v>
      </c>
      <c r="B834" s="17" t="s">
        <v>64</v>
      </c>
      <c r="C834" s="3" t="s">
        <v>3</v>
      </c>
      <c r="D834" s="3" t="str">
        <f>VLOOKUP(C834, Ref_Department!$A$2:$D$6, 2, FALSE)</f>
        <v>Information Technology</v>
      </c>
      <c r="E834" s="3" t="s">
        <v>33</v>
      </c>
      <c r="F834" s="3" t="str">
        <f>VLOOKUP(E834, Ref_GLAccount!$A$2:$D$9, 2, FALSE)</f>
        <v>Salaries</v>
      </c>
      <c r="G834" s="3" t="str">
        <f>VLOOKUP(E834, Ref_GLAccount!$A$2:$D$9, 3, FALSE)</f>
        <v>Personnel</v>
      </c>
      <c r="H834" s="6" t="s">
        <v>66</v>
      </c>
      <c r="I834" s="7">
        <v>151632.79999999999</v>
      </c>
      <c r="J834" s="18" t="b">
        <f>IF(tblFactFinance[[#This Row],[MonthStart]] &lt;= Inputs!$B$1, TRUE, FALSE)</f>
        <v>0</v>
      </c>
    </row>
    <row r="835" spans="1:10" x14ac:dyDescent="0.3">
      <c r="A835" s="15">
        <v>45962</v>
      </c>
      <c r="B835" s="17" t="s">
        <v>64</v>
      </c>
      <c r="C835" s="3" t="s">
        <v>3</v>
      </c>
      <c r="D835" s="3" t="str">
        <f>VLOOKUP(C835, Ref_Department!$A$2:$D$6, 2, FALSE)</f>
        <v>Information Technology</v>
      </c>
      <c r="E835" s="3" t="s">
        <v>33</v>
      </c>
      <c r="F835" s="3" t="str">
        <f>VLOOKUP(E835, Ref_GLAccount!$A$2:$D$9, 2, FALSE)</f>
        <v>Salaries</v>
      </c>
      <c r="G835" s="3" t="str">
        <f>VLOOKUP(E835, Ref_GLAccount!$A$2:$D$9, 3, FALSE)</f>
        <v>Personnel</v>
      </c>
      <c r="H835" s="6" t="s">
        <v>70</v>
      </c>
      <c r="I835" s="7">
        <v>151410</v>
      </c>
      <c r="J835" s="18" t="b">
        <f>IF(tblFactFinance[[#This Row],[MonthStart]] &lt;= Inputs!$B$1, TRUE, FALSE)</f>
        <v>0</v>
      </c>
    </row>
    <row r="836" spans="1:10" x14ac:dyDescent="0.3">
      <c r="A836" s="15">
        <v>45962</v>
      </c>
      <c r="B836" s="17" t="s">
        <v>64</v>
      </c>
      <c r="C836" s="3" t="s">
        <v>3</v>
      </c>
      <c r="D836" s="3" t="str">
        <f>VLOOKUP(C836, Ref_Department!$A$2:$D$6, 2, FALSE)</f>
        <v>Information Technology</v>
      </c>
      <c r="E836" s="3" t="s">
        <v>37</v>
      </c>
      <c r="F836" s="3" t="str">
        <f>VLOOKUP(E836, Ref_GLAccount!$A$2:$D$9, 2, FALSE)</f>
        <v>Benefits</v>
      </c>
      <c r="G836" s="3" t="str">
        <f>VLOOKUP(E836, Ref_GLAccount!$A$2:$D$9, 3, FALSE)</f>
        <v>Personnel</v>
      </c>
      <c r="H836" s="6" t="s">
        <v>66</v>
      </c>
      <c r="I836" s="7">
        <v>34822.28</v>
      </c>
      <c r="J836" s="18" t="b">
        <f>IF(tblFactFinance[[#This Row],[MonthStart]] &lt;= Inputs!$B$1, TRUE, FALSE)</f>
        <v>0</v>
      </c>
    </row>
    <row r="837" spans="1:10" x14ac:dyDescent="0.3">
      <c r="A837" s="15">
        <v>45962</v>
      </c>
      <c r="B837" s="17" t="s">
        <v>64</v>
      </c>
      <c r="C837" s="3" t="s">
        <v>3</v>
      </c>
      <c r="D837" s="3" t="str">
        <f>VLOOKUP(C837, Ref_Department!$A$2:$D$6, 2, FALSE)</f>
        <v>Information Technology</v>
      </c>
      <c r="E837" s="3" t="s">
        <v>37</v>
      </c>
      <c r="F837" s="3" t="str">
        <f>VLOOKUP(E837, Ref_GLAccount!$A$2:$D$9, 2, FALSE)</f>
        <v>Benefits</v>
      </c>
      <c r="G837" s="3" t="str">
        <f>VLOOKUP(E837, Ref_GLAccount!$A$2:$D$9, 3, FALSE)</f>
        <v>Personnel</v>
      </c>
      <c r="H837" s="6" t="s">
        <v>70</v>
      </c>
      <c r="I837" s="7">
        <v>33310.199999999997</v>
      </c>
      <c r="J837" s="18" t="b">
        <f>IF(tblFactFinance[[#This Row],[MonthStart]] &lt;= Inputs!$B$1, TRUE, FALSE)</f>
        <v>0</v>
      </c>
    </row>
    <row r="838" spans="1:10" x14ac:dyDescent="0.3">
      <c r="A838" s="15">
        <v>45962</v>
      </c>
      <c r="B838" s="17" t="s">
        <v>64</v>
      </c>
      <c r="C838" s="3" t="s">
        <v>3</v>
      </c>
      <c r="D838" s="3" t="str">
        <f>VLOOKUP(C838, Ref_Department!$A$2:$D$6, 2, FALSE)</f>
        <v>Information Technology</v>
      </c>
      <c r="E838" s="3" t="s">
        <v>7</v>
      </c>
      <c r="F838" s="3" t="str">
        <f>VLOOKUP(E838, Ref_GLAccount!$A$2:$D$9, 2, FALSE)</f>
        <v>Occupancy &amp; Facilities</v>
      </c>
      <c r="G838" s="3" t="str">
        <f>VLOOKUP(E838, Ref_GLAccount!$A$2:$D$9, 3, FALSE)</f>
        <v>Facilities</v>
      </c>
      <c r="H838" s="6" t="s">
        <v>66</v>
      </c>
      <c r="I838" s="7">
        <v>9082.1</v>
      </c>
      <c r="J838" s="18" t="b">
        <f>IF(tblFactFinance[[#This Row],[MonthStart]] &lt;= Inputs!$B$1, TRUE, FALSE)</f>
        <v>0</v>
      </c>
    </row>
    <row r="839" spans="1:10" x14ac:dyDescent="0.3">
      <c r="A839" s="15">
        <v>45962</v>
      </c>
      <c r="B839" s="17" t="s">
        <v>64</v>
      </c>
      <c r="C839" s="3" t="s">
        <v>3</v>
      </c>
      <c r="D839" s="3" t="str">
        <f>VLOOKUP(C839, Ref_Department!$A$2:$D$6, 2, FALSE)</f>
        <v>Information Technology</v>
      </c>
      <c r="E839" s="3" t="s">
        <v>7</v>
      </c>
      <c r="F839" s="3" t="str">
        <f>VLOOKUP(E839, Ref_GLAccount!$A$2:$D$9, 2, FALSE)</f>
        <v>Occupancy &amp; Facilities</v>
      </c>
      <c r="G839" s="3" t="str">
        <f>VLOOKUP(E839, Ref_GLAccount!$A$2:$D$9, 3, FALSE)</f>
        <v>Facilities</v>
      </c>
      <c r="H839" s="6" t="s">
        <v>70</v>
      </c>
      <c r="I839" s="7">
        <v>9000</v>
      </c>
      <c r="J839" s="18" t="b">
        <f>IF(tblFactFinance[[#This Row],[MonthStart]] &lt;= Inputs!$B$1, TRUE, FALSE)</f>
        <v>0</v>
      </c>
    </row>
    <row r="840" spans="1:10" x14ac:dyDescent="0.3">
      <c r="A840" s="15">
        <v>45962</v>
      </c>
      <c r="B840" s="17" t="s">
        <v>64</v>
      </c>
      <c r="C840" s="3" t="s">
        <v>3</v>
      </c>
      <c r="D840" s="3" t="str">
        <f>VLOOKUP(C840, Ref_Department!$A$2:$D$6, 2, FALSE)</f>
        <v>Information Technology</v>
      </c>
      <c r="E840" s="3" t="s">
        <v>8</v>
      </c>
      <c r="F840" s="3" t="str">
        <f>VLOOKUP(E840, Ref_GLAccount!$A$2:$D$9, 2, FALSE)</f>
        <v>IT Software &amp; Subscriptions</v>
      </c>
      <c r="G840" s="3" t="str">
        <f>VLOOKUP(E840, Ref_GLAccount!$A$2:$D$9, 3, FALSE)</f>
        <v>IT</v>
      </c>
      <c r="H840" s="6" t="s">
        <v>66</v>
      </c>
      <c r="I840" s="7">
        <v>43129.65</v>
      </c>
      <c r="J840" s="18" t="b">
        <f>IF(tblFactFinance[[#This Row],[MonthStart]] &lt;= Inputs!$B$1, TRUE, FALSE)</f>
        <v>0</v>
      </c>
    </row>
    <row r="841" spans="1:10" x14ac:dyDescent="0.3">
      <c r="A841" s="15">
        <v>45962</v>
      </c>
      <c r="B841" s="17" t="s">
        <v>64</v>
      </c>
      <c r="C841" s="3" t="s">
        <v>3</v>
      </c>
      <c r="D841" s="3" t="str">
        <f>VLOOKUP(C841, Ref_Department!$A$2:$D$6, 2, FALSE)</f>
        <v>Information Technology</v>
      </c>
      <c r="E841" s="3" t="s">
        <v>8</v>
      </c>
      <c r="F841" s="3" t="str">
        <f>VLOOKUP(E841, Ref_GLAccount!$A$2:$D$9, 2, FALSE)</f>
        <v>IT Software &amp; Subscriptions</v>
      </c>
      <c r="G841" s="3" t="str">
        <f>VLOOKUP(E841, Ref_GLAccount!$A$2:$D$9, 3, FALSE)</f>
        <v>IT</v>
      </c>
      <c r="H841" s="6" t="s">
        <v>70</v>
      </c>
      <c r="I841" s="7">
        <v>43680</v>
      </c>
      <c r="J841" s="18" t="b">
        <f>IF(tblFactFinance[[#This Row],[MonthStart]] &lt;= Inputs!$B$1, TRUE, FALSE)</f>
        <v>0</v>
      </c>
    </row>
    <row r="842" spans="1:10" x14ac:dyDescent="0.3">
      <c r="A842" s="15">
        <v>45962</v>
      </c>
      <c r="B842" s="17" t="s">
        <v>64</v>
      </c>
      <c r="C842" s="3" t="s">
        <v>3</v>
      </c>
      <c r="D842" s="3" t="str">
        <f>VLOOKUP(C842, Ref_Department!$A$2:$D$6, 2, FALSE)</f>
        <v>Information Technology</v>
      </c>
      <c r="E842" s="3" t="s">
        <v>9</v>
      </c>
      <c r="F842" s="3" t="str">
        <f>VLOOKUP(E842, Ref_GLAccount!$A$2:$D$9, 2, FALSE)</f>
        <v>Marketing &amp; Advertising</v>
      </c>
      <c r="G842" s="3" t="str">
        <f>VLOOKUP(E842, Ref_GLAccount!$A$2:$D$9, 3, FALSE)</f>
        <v>Marketing</v>
      </c>
      <c r="H842" s="6" t="s">
        <v>66</v>
      </c>
      <c r="I842" s="7">
        <v>1929.78</v>
      </c>
      <c r="J842" s="18" t="b">
        <f>IF(tblFactFinance[[#This Row],[MonthStart]] &lt;= Inputs!$B$1, TRUE, FALSE)</f>
        <v>0</v>
      </c>
    </row>
    <row r="843" spans="1:10" x14ac:dyDescent="0.3">
      <c r="A843" s="15">
        <v>45962</v>
      </c>
      <c r="B843" s="17" t="s">
        <v>64</v>
      </c>
      <c r="C843" s="3" t="s">
        <v>3</v>
      </c>
      <c r="D843" s="3" t="str">
        <f>VLOOKUP(C843, Ref_Department!$A$2:$D$6, 2, FALSE)</f>
        <v>Information Technology</v>
      </c>
      <c r="E843" s="3" t="s">
        <v>9</v>
      </c>
      <c r="F843" s="3" t="str">
        <f>VLOOKUP(E843, Ref_GLAccount!$A$2:$D$9, 2, FALSE)</f>
        <v>Marketing &amp; Advertising</v>
      </c>
      <c r="G843" s="3" t="str">
        <f>VLOOKUP(E843, Ref_GLAccount!$A$2:$D$9, 3, FALSE)</f>
        <v>Marketing</v>
      </c>
      <c r="H843" s="6" t="s">
        <v>70</v>
      </c>
      <c r="I843" s="7">
        <v>2028</v>
      </c>
      <c r="J843" s="18" t="b">
        <f>IF(tblFactFinance[[#This Row],[MonthStart]] &lt;= Inputs!$B$1, TRUE, FALSE)</f>
        <v>0</v>
      </c>
    </row>
    <row r="844" spans="1:10" x14ac:dyDescent="0.3">
      <c r="A844" s="15">
        <v>45962</v>
      </c>
      <c r="B844" s="17" t="s">
        <v>64</v>
      </c>
      <c r="C844" s="3" t="s">
        <v>3</v>
      </c>
      <c r="D844" s="3" t="str">
        <f>VLOOKUP(C844, Ref_Department!$A$2:$D$6, 2, FALSE)</f>
        <v>Information Technology</v>
      </c>
      <c r="E844" s="3" t="s">
        <v>10</v>
      </c>
      <c r="F844" s="3" t="str">
        <f>VLOOKUP(E844, Ref_GLAccount!$A$2:$D$9, 2, FALSE)</f>
        <v>Professional Services</v>
      </c>
      <c r="G844" s="3" t="str">
        <f>VLOOKUP(E844, Ref_GLAccount!$A$2:$D$9, 3, FALSE)</f>
        <v>Professional Services</v>
      </c>
      <c r="H844" s="6" t="s">
        <v>66</v>
      </c>
      <c r="I844" s="7">
        <v>12840.35</v>
      </c>
      <c r="J844" s="18" t="b">
        <f>IF(tblFactFinance[[#This Row],[MonthStart]] &lt;= Inputs!$B$1, TRUE, FALSE)</f>
        <v>0</v>
      </c>
    </row>
    <row r="845" spans="1:10" x14ac:dyDescent="0.3">
      <c r="A845" s="15">
        <v>45962</v>
      </c>
      <c r="B845" s="17" t="s">
        <v>64</v>
      </c>
      <c r="C845" s="3" t="s">
        <v>3</v>
      </c>
      <c r="D845" s="3" t="str">
        <f>VLOOKUP(C845, Ref_Department!$A$2:$D$6, 2, FALSE)</f>
        <v>Information Technology</v>
      </c>
      <c r="E845" s="3" t="s">
        <v>10</v>
      </c>
      <c r="F845" s="3" t="str">
        <f>VLOOKUP(E845, Ref_GLAccount!$A$2:$D$9, 2, FALSE)</f>
        <v>Professional Services</v>
      </c>
      <c r="G845" s="3" t="str">
        <f>VLOOKUP(E845, Ref_GLAccount!$A$2:$D$9, 3, FALSE)</f>
        <v>Professional Services</v>
      </c>
      <c r="H845" s="6" t="s">
        <v>70</v>
      </c>
      <c r="I845" s="7">
        <v>12480</v>
      </c>
      <c r="J845" s="18" t="b">
        <f>IF(tblFactFinance[[#This Row],[MonthStart]] &lt;= Inputs!$B$1, TRUE, FALSE)</f>
        <v>0</v>
      </c>
    </row>
    <row r="846" spans="1:10" x14ac:dyDescent="0.3">
      <c r="A846" s="15">
        <v>45962</v>
      </c>
      <c r="B846" s="17" t="s">
        <v>64</v>
      </c>
      <c r="C846" s="3" t="s">
        <v>3</v>
      </c>
      <c r="D846" s="3" t="str">
        <f>VLOOKUP(C846, Ref_Department!$A$2:$D$6, 2, FALSE)</f>
        <v>Information Technology</v>
      </c>
      <c r="E846" s="3" t="s">
        <v>11</v>
      </c>
      <c r="F846" s="3" t="str">
        <f>VLOOKUP(E846, Ref_GLAccount!$A$2:$D$9, 2, FALSE)</f>
        <v>Office Supplies</v>
      </c>
      <c r="G846" s="3" t="str">
        <f>VLOOKUP(E846, Ref_GLAccount!$A$2:$D$9, 3, FALSE)</f>
        <v>Other OPEX</v>
      </c>
      <c r="H846" s="6" t="s">
        <v>66</v>
      </c>
      <c r="I846" s="7">
        <v>849.58</v>
      </c>
      <c r="J846" s="18" t="b">
        <f>IF(tblFactFinance[[#This Row],[MonthStart]] &lt;= Inputs!$B$1, TRUE, FALSE)</f>
        <v>0</v>
      </c>
    </row>
    <row r="847" spans="1:10" x14ac:dyDescent="0.3">
      <c r="A847" s="15">
        <v>45962</v>
      </c>
      <c r="B847" s="17" t="s">
        <v>64</v>
      </c>
      <c r="C847" s="3" t="s">
        <v>3</v>
      </c>
      <c r="D847" s="3" t="str">
        <f>VLOOKUP(C847, Ref_Department!$A$2:$D$6, 2, FALSE)</f>
        <v>Information Technology</v>
      </c>
      <c r="E847" s="3" t="s">
        <v>11</v>
      </c>
      <c r="F847" s="3" t="str">
        <f>VLOOKUP(E847, Ref_GLAccount!$A$2:$D$9, 2, FALSE)</f>
        <v>Office Supplies</v>
      </c>
      <c r="G847" s="3" t="str">
        <f>VLOOKUP(E847, Ref_GLAccount!$A$2:$D$9, 3, FALSE)</f>
        <v>Other OPEX</v>
      </c>
      <c r="H847" s="6" t="s">
        <v>70</v>
      </c>
      <c r="I847" s="7">
        <v>832</v>
      </c>
      <c r="J847" s="18" t="b">
        <f>IF(tblFactFinance[[#This Row],[MonthStart]] &lt;= Inputs!$B$1, TRUE, FALSE)</f>
        <v>0</v>
      </c>
    </row>
    <row r="848" spans="1:10" x14ac:dyDescent="0.3">
      <c r="A848" s="15">
        <v>45962</v>
      </c>
      <c r="B848" s="17" t="s">
        <v>64</v>
      </c>
      <c r="C848" s="3" t="s">
        <v>3</v>
      </c>
      <c r="D848" s="3" t="str">
        <f>VLOOKUP(C848, Ref_Department!$A$2:$D$6, 2, FALSE)</f>
        <v>Information Technology</v>
      </c>
      <c r="E848" s="3" t="s">
        <v>12</v>
      </c>
      <c r="F848" s="3" t="str">
        <f>VLOOKUP(E848, Ref_GLAccount!$A$2:$D$9, 2, FALSE)</f>
        <v>Training &amp; Development</v>
      </c>
      <c r="G848" s="3" t="str">
        <f>VLOOKUP(E848, Ref_GLAccount!$A$2:$D$9, 3, FALSE)</f>
        <v>Other OPEX</v>
      </c>
      <c r="H848" s="6" t="s">
        <v>66</v>
      </c>
      <c r="I848" s="7">
        <v>1980.64</v>
      </c>
      <c r="J848" s="18" t="b">
        <f>IF(tblFactFinance[[#This Row],[MonthStart]] &lt;= Inputs!$B$1, TRUE, FALSE)</f>
        <v>0</v>
      </c>
    </row>
    <row r="849" spans="1:10" x14ac:dyDescent="0.3">
      <c r="A849" s="15">
        <v>45962</v>
      </c>
      <c r="B849" s="17" t="s">
        <v>64</v>
      </c>
      <c r="C849" s="3" t="s">
        <v>3</v>
      </c>
      <c r="D849" s="3" t="str">
        <f>VLOOKUP(C849, Ref_Department!$A$2:$D$6, 2, FALSE)</f>
        <v>Information Technology</v>
      </c>
      <c r="E849" s="3" t="s">
        <v>12</v>
      </c>
      <c r="F849" s="3" t="str">
        <f>VLOOKUP(E849, Ref_GLAccount!$A$2:$D$9, 2, FALSE)</f>
        <v>Training &amp; Development</v>
      </c>
      <c r="G849" s="3" t="str">
        <f>VLOOKUP(E849, Ref_GLAccount!$A$2:$D$9, 3, FALSE)</f>
        <v>Other OPEX</v>
      </c>
      <c r="H849" s="6" t="s">
        <v>70</v>
      </c>
      <c r="I849" s="7">
        <v>1872</v>
      </c>
      <c r="J849" s="18" t="b">
        <f>IF(tblFactFinance[[#This Row],[MonthStart]] &lt;= Inputs!$B$1, TRUE, FALSE)</f>
        <v>0</v>
      </c>
    </row>
    <row r="850" spans="1:10" x14ac:dyDescent="0.3">
      <c r="A850" s="15">
        <v>45962</v>
      </c>
      <c r="B850" s="17" t="s">
        <v>64</v>
      </c>
      <c r="C850" s="3" t="s">
        <v>4</v>
      </c>
      <c r="D850" s="3" t="str">
        <f>VLOOKUP(C850, Ref_Department!$A$2:$D$6, 2, FALSE)</f>
        <v>Marketing</v>
      </c>
      <c r="E850" s="3" t="s">
        <v>33</v>
      </c>
      <c r="F850" s="3" t="str">
        <f>VLOOKUP(E850, Ref_GLAccount!$A$2:$D$9, 2, FALSE)</f>
        <v>Salaries</v>
      </c>
      <c r="G850" s="3" t="str">
        <f>VLOOKUP(E850, Ref_GLAccount!$A$2:$D$9, 3, FALSE)</f>
        <v>Personnel</v>
      </c>
      <c r="H850" s="6" t="s">
        <v>66</v>
      </c>
      <c r="I850" s="7">
        <v>62450.3</v>
      </c>
      <c r="J850" s="18" t="b">
        <f>IF(tblFactFinance[[#This Row],[MonthStart]] &lt;= Inputs!$B$1, TRUE, FALSE)</f>
        <v>0</v>
      </c>
    </row>
    <row r="851" spans="1:10" x14ac:dyDescent="0.3">
      <c r="A851" s="15">
        <v>45962</v>
      </c>
      <c r="B851" s="17" t="s">
        <v>64</v>
      </c>
      <c r="C851" s="3" t="s">
        <v>4</v>
      </c>
      <c r="D851" s="3" t="str">
        <f>VLOOKUP(C851, Ref_Department!$A$2:$D$6, 2, FALSE)</f>
        <v>Marketing</v>
      </c>
      <c r="E851" s="3" t="s">
        <v>33</v>
      </c>
      <c r="F851" s="3" t="str">
        <f>VLOOKUP(E851, Ref_GLAccount!$A$2:$D$9, 2, FALSE)</f>
        <v>Salaries</v>
      </c>
      <c r="G851" s="3" t="str">
        <f>VLOOKUP(E851, Ref_GLAccount!$A$2:$D$9, 3, FALSE)</f>
        <v>Personnel</v>
      </c>
      <c r="H851" s="6" t="s">
        <v>70</v>
      </c>
      <c r="I851" s="7">
        <v>64375</v>
      </c>
      <c r="J851" s="18" t="b">
        <f>IF(tblFactFinance[[#This Row],[MonthStart]] &lt;= Inputs!$B$1, TRUE, FALSE)</f>
        <v>0</v>
      </c>
    </row>
    <row r="852" spans="1:10" x14ac:dyDescent="0.3">
      <c r="A852" s="15">
        <v>45962</v>
      </c>
      <c r="B852" s="17" t="s">
        <v>64</v>
      </c>
      <c r="C852" s="3" t="s">
        <v>4</v>
      </c>
      <c r="D852" s="3" t="str">
        <f>VLOOKUP(C852, Ref_Department!$A$2:$D$6, 2, FALSE)</f>
        <v>Marketing</v>
      </c>
      <c r="E852" s="3" t="s">
        <v>37</v>
      </c>
      <c r="F852" s="3" t="str">
        <f>VLOOKUP(E852, Ref_GLAccount!$A$2:$D$9, 2, FALSE)</f>
        <v>Benefits</v>
      </c>
      <c r="G852" s="3" t="str">
        <f>VLOOKUP(E852, Ref_GLAccount!$A$2:$D$9, 3, FALSE)</f>
        <v>Personnel</v>
      </c>
      <c r="H852" s="6" t="s">
        <v>66</v>
      </c>
      <c r="I852" s="7">
        <v>14177.47</v>
      </c>
      <c r="J852" s="18" t="b">
        <f>IF(tblFactFinance[[#This Row],[MonthStart]] &lt;= Inputs!$B$1, TRUE, FALSE)</f>
        <v>0</v>
      </c>
    </row>
    <row r="853" spans="1:10" x14ac:dyDescent="0.3">
      <c r="A853" s="15">
        <v>45962</v>
      </c>
      <c r="B853" s="17" t="s">
        <v>64</v>
      </c>
      <c r="C853" s="3" t="s">
        <v>4</v>
      </c>
      <c r="D853" s="3" t="str">
        <f>VLOOKUP(C853, Ref_Department!$A$2:$D$6, 2, FALSE)</f>
        <v>Marketing</v>
      </c>
      <c r="E853" s="3" t="s">
        <v>37</v>
      </c>
      <c r="F853" s="3" t="str">
        <f>VLOOKUP(E853, Ref_GLAccount!$A$2:$D$9, 2, FALSE)</f>
        <v>Benefits</v>
      </c>
      <c r="G853" s="3" t="str">
        <f>VLOOKUP(E853, Ref_GLAccount!$A$2:$D$9, 3, FALSE)</f>
        <v>Personnel</v>
      </c>
      <c r="H853" s="6" t="s">
        <v>70</v>
      </c>
      <c r="I853" s="7">
        <v>14162.5</v>
      </c>
      <c r="J853" s="18" t="b">
        <f>IF(tblFactFinance[[#This Row],[MonthStart]] &lt;= Inputs!$B$1, TRUE, FALSE)</f>
        <v>0</v>
      </c>
    </row>
    <row r="854" spans="1:10" x14ac:dyDescent="0.3">
      <c r="A854" s="15">
        <v>45962</v>
      </c>
      <c r="B854" s="17" t="s">
        <v>64</v>
      </c>
      <c r="C854" s="3" t="s">
        <v>4</v>
      </c>
      <c r="D854" s="3" t="str">
        <f>VLOOKUP(C854, Ref_Department!$A$2:$D$6, 2, FALSE)</f>
        <v>Marketing</v>
      </c>
      <c r="E854" s="3" t="s">
        <v>7</v>
      </c>
      <c r="F854" s="3" t="str">
        <f>VLOOKUP(E854, Ref_GLAccount!$A$2:$D$9, 2, FALSE)</f>
        <v>Occupancy &amp; Facilities</v>
      </c>
      <c r="G854" s="3" t="str">
        <f>VLOOKUP(E854, Ref_GLAccount!$A$2:$D$9, 3, FALSE)</f>
        <v>Facilities</v>
      </c>
      <c r="H854" s="6" t="s">
        <v>66</v>
      </c>
      <c r="I854" s="7">
        <v>5985.91</v>
      </c>
      <c r="J854" s="18" t="b">
        <f>IF(tblFactFinance[[#This Row],[MonthStart]] &lt;= Inputs!$B$1, TRUE, FALSE)</f>
        <v>0</v>
      </c>
    </row>
    <row r="855" spans="1:10" x14ac:dyDescent="0.3">
      <c r="A855" s="15">
        <v>45962</v>
      </c>
      <c r="B855" s="17" t="s">
        <v>64</v>
      </c>
      <c r="C855" s="3" t="s">
        <v>4</v>
      </c>
      <c r="D855" s="3" t="str">
        <f>VLOOKUP(C855, Ref_Department!$A$2:$D$6, 2, FALSE)</f>
        <v>Marketing</v>
      </c>
      <c r="E855" s="3" t="s">
        <v>7</v>
      </c>
      <c r="F855" s="3" t="str">
        <f>VLOOKUP(E855, Ref_GLAccount!$A$2:$D$9, 2, FALSE)</f>
        <v>Occupancy &amp; Facilities</v>
      </c>
      <c r="G855" s="3" t="str">
        <f>VLOOKUP(E855, Ref_GLAccount!$A$2:$D$9, 3, FALSE)</f>
        <v>Facilities</v>
      </c>
      <c r="H855" s="6" t="s">
        <v>70</v>
      </c>
      <c r="I855" s="7">
        <v>6000</v>
      </c>
      <c r="J855" s="18" t="b">
        <f>IF(tblFactFinance[[#This Row],[MonthStart]] &lt;= Inputs!$B$1, TRUE, FALSE)</f>
        <v>0</v>
      </c>
    </row>
    <row r="856" spans="1:10" x14ac:dyDescent="0.3">
      <c r="A856" s="15">
        <v>45962</v>
      </c>
      <c r="B856" s="17" t="s">
        <v>64</v>
      </c>
      <c r="C856" s="3" t="s">
        <v>4</v>
      </c>
      <c r="D856" s="3" t="str">
        <f>VLOOKUP(C856, Ref_Department!$A$2:$D$6, 2, FALSE)</f>
        <v>Marketing</v>
      </c>
      <c r="E856" s="3" t="s">
        <v>8</v>
      </c>
      <c r="F856" s="3" t="str">
        <f>VLOOKUP(E856, Ref_GLAccount!$A$2:$D$9, 2, FALSE)</f>
        <v>IT Software &amp; Subscriptions</v>
      </c>
      <c r="G856" s="3" t="str">
        <f>VLOOKUP(E856, Ref_GLAccount!$A$2:$D$9, 3, FALSE)</f>
        <v>IT</v>
      </c>
      <c r="H856" s="6" t="s">
        <v>66</v>
      </c>
      <c r="I856" s="7">
        <v>7254.49</v>
      </c>
      <c r="J856" s="18" t="b">
        <f>IF(tblFactFinance[[#This Row],[MonthStart]] &lt;= Inputs!$B$1, TRUE, FALSE)</f>
        <v>0</v>
      </c>
    </row>
    <row r="857" spans="1:10" x14ac:dyDescent="0.3">
      <c r="A857" s="15">
        <v>45962</v>
      </c>
      <c r="B857" s="17" t="s">
        <v>64</v>
      </c>
      <c r="C857" s="3" t="s">
        <v>4</v>
      </c>
      <c r="D857" s="3" t="str">
        <f>VLOOKUP(C857, Ref_Department!$A$2:$D$6, 2, FALSE)</f>
        <v>Marketing</v>
      </c>
      <c r="E857" s="3" t="s">
        <v>8</v>
      </c>
      <c r="F857" s="3" t="str">
        <f>VLOOKUP(E857, Ref_GLAccount!$A$2:$D$9, 2, FALSE)</f>
        <v>IT Software &amp; Subscriptions</v>
      </c>
      <c r="G857" s="3" t="str">
        <f>VLOOKUP(E857, Ref_GLAccount!$A$2:$D$9, 3, FALSE)</f>
        <v>IT</v>
      </c>
      <c r="H857" s="6" t="s">
        <v>70</v>
      </c>
      <c r="I857" s="7">
        <v>7280</v>
      </c>
      <c r="J857" s="18" t="b">
        <f>IF(tblFactFinance[[#This Row],[MonthStart]] &lt;= Inputs!$B$1, TRUE, FALSE)</f>
        <v>0</v>
      </c>
    </row>
    <row r="858" spans="1:10" x14ac:dyDescent="0.3">
      <c r="A858" s="15">
        <v>45962</v>
      </c>
      <c r="B858" s="17" t="s">
        <v>64</v>
      </c>
      <c r="C858" s="3" t="s">
        <v>4</v>
      </c>
      <c r="D858" s="3" t="str">
        <f>VLOOKUP(C858, Ref_Department!$A$2:$D$6, 2, FALSE)</f>
        <v>Marketing</v>
      </c>
      <c r="E858" s="3" t="s">
        <v>9</v>
      </c>
      <c r="F858" s="3" t="str">
        <f>VLOOKUP(E858, Ref_GLAccount!$A$2:$D$9, 2, FALSE)</f>
        <v>Marketing &amp; Advertising</v>
      </c>
      <c r="G858" s="3" t="str">
        <f>VLOOKUP(E858, Ref_GLAccount!$A$2:$D$9, 3, FALSE)</f>
        <v>Marketing</v>
      </c>
      <c r="H858" s="6" t="s">
        <v>66</v>
      </c>
      <c r="I858" s="7">
        <v>37871.730000000003</v>
      </c>
      <c r="J858" s="18" t="b">
        <f>IF(tblFactFinance[[#This Row],[MonthStart]] &lt;= Inputs!$B$1, TRUE, FALSE)</f>
        <v>0</v>
      </c>
    </row>
    <row r="859" spans="1:10" x14ac:dyDescent="0.3">
      <c r="A859" s="15">
        <v>45962</v>
      </c>
      <c r="B859" s="17" t="s">
        <v>64</v>
      </c>
      <c r="C859" s="3" t="s">
        <v>4</v>
      </c>
      <c r="D859" s="3" t="str">
        <f>VLOOKUP(C859, Ref_Department!$A$2:$D$6, 2, FALSE)</f>
        <v>Marketing</v>
      </c>
      <c r="E859" s="3" t="s">
        <v>9</v>
      </c>
      <c r="F859" s="3" t="str">
        <f>VLOOKUP(E859, Ref_GLAccount!$A$2:$D$9, 2, FALSE)</f>
        <v>Marketing &amp; Advertising</v>
      </c>
      <c r="G859" s="3" t="str">
        <f>VLOOKUP(E859, Ref_GLAccount!$A$2:$D$9, 3, FALSE)</f>
        <v>Marketing</v>
      </c>
      <c r="H859" s="6" t="s">
        <v>70</v>
      </c>
      <c r="I859" s="7">
        <v>37856</v>
      </c>
      <c r="J859" s="18" t="b">
        <f>IF(tblFactFinance[[#This Row],[MonthStart]] &lt;= Inputs!$B$1, TRUE, FALSE)</f>
        <v>0</v>
      </c>
    </row>
    <row r="860" spans="1:10" x14ac:dyDescent="0.3">
      <c r="A860" s="15">
        <v>45962</v>
      </c>
      <c r="B860" s="17" t="s">
        <v>64</v>
      </c>
      <c r="C860" s="3" t="s">
        <v>4</v>
      </c>
      <c r="D860" s="3" t="str">
        <f>VLOOKUP(C860, Ref_Department!$A$2:$D$6, 2, FALSE)</f>
        <v>Marketing</v>
      </c>
      <c r="E860" s="3" t="s">
        <v>10</v>
      </c>
      <c r="F860" s="3" t="str">
        <f>VLOOKUP(E860, Ref_GLAccount!$A$2:$D$9, 2, FALSE)</f>
        <v>Professional Services</v>
      </c>
      <c r="G860" s="3" t="str">
        <f>VLOOKUP(E860, Ref_GLAccount!$A$2:$D$9, 3, FALSE)</f>
        <v>Professional Services</v>
      </c>
      <c r="H860" s="6" t="s">
        <v>66</v>
      </c>
      <c r="I860" s="7">
        <v>5812.05</v>
      </c>
      <c r="J860" s="18" t="b">
        <f>IF(tblFactFinance[[#This Row],[MonthStart]] &lt;= Inputs!$B$1, TRUE, FALSE)</f>
        <v>0</v>
      </c>
    </row>
    <row r="861" spans="1:10" x14ac:dyDescent="0.3">
      <c r="A861" s="15">
        <v>45962</v>
      </c>
      <c r="B861" s="17" t="s">
        <v>64</v>
      </c>
      <c r="C861" s="3" t="s">
        <v>4</v>
      </c>
      <c r="D861" s="3" t="str">
        <f>VLOOKUP(C861, Ref_Department!$A$2:$D$6, 2, FALSE)</f>
        <v>Marketing</v>
      </c>
      <c r="E861" s="3" t="s">
        <v>10</v>
      </c>
      <c r="F861" s="3" t="str">
        <f>VLOOKUP(E861, Ref_GLAccount!$A$2:$D$9, 2, FALSE)</f>
        <v>Professional Services</v>
      </c>
      <c r="G861" s="3" t="str">
        <f>VLOOKUP(E861, Ref_GLAccount!$A$2:$D$9, 3, FALSE)</f>
        <v>Professional Services</v>
      </c>
      <c r="H861" s="6" t="s">
        <v>70</v>
      </c>
      <c r="I861" s="7">
        <v>6240</v>
      </c>
      <c r="J861" s="18" t="b">
        <f>IF(tblFactFinance[[#This Row],[MonthStart]] &lt;= Inputs!$B$1, TRUE, FALSE)</f>
        <v>0</v>
      </c>
    </row>
    <row r="862" spans="1:10" x14ac:dyDescent="0.3">
      <c r="A862" s="15">
        <v>45962</v>
      </c>
      <c r="B862" s="17" t="s">
        <v>64</v>
      </c>
      <c r="C862" s="3" t="s">
        <v>4</v>
      </c>
      <c r="D862" s="3" t="str">
        <f>VLOOKUP(C862, Ref_Department!$A$2:$D$6, 2, FALSE)</f>
        <v>Marketing</v>
      </c>
      <c r="E862" s="3" t="s">
        <v>11</v>
      </c>
      <c r="F862" s="3" t="str">
        <f>VLOOKUP(E862, Ref_GLAccount!$A$2:$D$9, 2, FALSE)</f>
        <v>Office Supplies</v>
      </c>
      <c r="G862" s="3" t="str">
        <f>VLOOKUP(E862, Ref_GLAccount!$A$2:$D$9, 3, FALSE)</f>
        <v>Other OPEX</v>
      </c>
      <c r="H862" s="6" t="s">
        <v>66</v>
      </c>
      <c r="I862" s="7">
        <v>752.02</v>
      </c>
      <c r="J862" s="18" t="b">
        <f>IF(tblFactFinance[[#This Row],[MonthStart]] &lt;= Inputs!$B$1, TRUE, FALSE)</f>
        <v>0</v>
      </c>
    </row>
    <row r="863" spans="1:10" x14ac:dyDescent="0.3">
      <c r="A863" s="15">
        <v>45962</v>
      </c>
      <c r="B863" s="17" t="s">
        <v>64</v>
      </c>
      <c r="C863" s="3" t="s">
        <v>4</v>
      </c>
      <c r="D863" s="3" t="str">
        <f>VLOOKUP(C863, Ref_Department!$A$2:$D$6, 2, FALSE)</f>
        <v>Marketing</v>
      </c>
      <c r="E863" s="3" t="s">
        <v>11</v>
      </c>
      <c r="F863" s="3" t="str">
        <f>VLOOKUP(E863, Ref_GLAccount!$A$2:$D$9, 2, FALSE)</f>
        <v>Office Supplies</v>
      </c>
      <c r="G863" s="3" t="str">
        <f>VLOOKUP(E863, Ref_GLAccount!$A$2:$D$9, 3, FALSE)</f>
        <v>Other OPEX</v>
      </c>
      <c r="H863" s="6" t="s">
        <v>70</v>
      </c>
      <c r="I863" s="7">
        <v>728</v>
      </c>
      <c r="J863" s="18" t="b">
        <f>IF(tblFactFinance[[#This Row],[MonthStart]] &lt;= Inputs!$B$1, TRUE, FALSE)</f>
        <v>0</v>
      </c>
    </row>
    <row r="864" spans="1:10" x14ac:dyDescent="0.3">
      <c r="A864" s="15">
        <v>45962</v>
      </c>
      <c r="B864" s="17" t="s">
        <v>64</v>
      </c>
      <c r="C864" s="3" t="s">
        <v>4</v>
      </c>
      <c r="D864" s="3" t="str">
        <f>VLOOKUP(C864, Ref_Department!$A$2:$D$6, 2, FALSE)</f>
        <v>Marketing</v>
      </c>
      <c r="E864" s="3" t="s">
        <v>12</v>
      </c>
      <c r="F864" s="3" t="str">
        <f>VLOOKUP(E864, Ref_GLAccount!$A$2:$D$9, 2, FALSE)</f>
        <v>Training &amp; Development</v>
      </c>
      <c r="G864" s="3" t="str">
        <f>VLOOKUP(E864, Ref_GLAccount!$A$2:$D$9, 3, FALSE)</f>
        <v>Other OPEX</v>
      </c>
      <c r="H864" s="6" t="s">
        <v>66</v>
      </c>
      <c r="I864" s="7">
        <v>1173.8900000000001</v>
      </c>
      <c r="J864" s="18" t="b">
        <f>IF(tblFactFinance[[#This Row],[MonthStart]] &lt;= Inputs!$B$1, TRUE, FALSE)</f>
        <v>0</v>
      </c>
    </row>
    <row r="865" spans="1:10" x14ac:dyDescent="0.3">
      <c r="A865" s="15">
        <v>45962</v>
      </c>
      <c r="B865" s="17" t="s">
        <v>64</v>
      </c>
      <c r="C865" s="3" t="s">
        <v>4</v>
      </c>
      <c r="D865" s="3" t="str">
        <f>VLOOKUP(C865, Ref_Department!$A$2:$D$6, 2, FALSE)</f>
        <v>Marketing</v>
      </c>
      <c r="E865" s="3" t="s">
        <v>12</v>
      </c>
      <c r="F865" s="3" t="str">
        <f>VLOOKUP(E865, Ref_GLAccount!$A$2:$D$9, 2, FALSE)</f>
        <v>Training &amp; Development</v>
      </c>
      <c r="G865" s="3" t="str">
        <f>VLOOKUP(E865, Ref_GLAccount!$A$2:$D$9, 3, FALSE)</f>
        <v>Other OPEX</v>
      </c>
      <c r="H865" s="6" t="s">
        <v>70</v>
      </c>
      <c r="I865" s="7">
        <v>1144</v>
      </c>
      <c r="J865" s="18" t="b">
        <f>IF(tblFactFinance[[#This Row],[MonthStart]] &lt;= Inputs!$B$1, TRUE, FALSE)</f>
        <v>0</v>
      </c>
    </row>
    <row r="866" spans="1:10" x14ac:dyDescent="0.3">
      <c r="A866" s="15">
        <v>45962</v>
      </c>
      <c r="B866" s="17" t="s">
        <v>64</v>
      </c>
      <c r="C866" s="3" t="s">
        <v>5</v>
      </c>
      <c r="D866" s="3" t="str">
        <f>VLOOKUP(C866, Ref_Department!$A$2:$D$6, 2, FALSE)</f>
        <v>Human Resources</v>
      </c>
      <c r="E866" s="3" t="s">
        <v>33</v>
      </c>
      <c r="F866" s="3" t="str">
        <f>VLOOKUP(E866, Ref_GLAccount!$A$2:$D$9, 2, FALSE)</f>
        <v>Salaries</v>
      </c>
      <c r="G866" s="3" t="str">
        <f>VLOOKUP(E866, Ref_GLAccount!$A$2:$D$9, 3, FALSE)</f>
        <v>Personnel</v>
      </c>
      <c r="H866" s="6" t="s">
        <v>66</v>
      </c>
      <c r="I866" s="7">
        <v>55981.93</v>
      </c>
      <c r="J866" s="18" t="b">
        <f>IF(tblFactFinance[[#This Row],[MonthStart]] &lt;= Inputs!$B$1, TRUE, FALSE)</f>
        <v>0</v>
      </c>
    </row>
    <row r="867" spans="1:10" x14ac:dyDescent="0.3">
      <c r="A867" s="15">
        <v>45962</v>
      </c>
      <c r="B867" s="17" t="s">
        <v>64</v>
      </c>
      <c r="C867" s="3" t="s">
        <v>5</v>
      </c>
      <c r="D867" s="3" t="str">
        <f>VLOOKUP(C867, Ref_Department!$A$2:$D$6, 2, FALSE)</f>
        <v>Human Resources</v>
      </c>
      <c r="E867" s="3" t="s">
        <v>33</v>
      </c>
      <c r="F867" s="3" t="str">
        <f>VLOOKUP(E867, Ref_GLAccount!$A$2:$D$9, 2, FALSE)</f>
        <v>Salaries</v>
      </c>
      <c r="G867" s="3" t="str">
        <f>VLOOKUP(E867, Ref_GLAccount!$A$2:$D$9, 3, FALSE)</f>
        <v>Personnel</v>
      </c>
      <c r="H867" s="6" t="s">
        <v>70</v>
      </c>
      <c r="I867" s="7">
        <v>53560</v>
      </c>
      <c r="J867" s="18" t="b">
        <f>IF(tblFactFinance[[#This Row],[MonthStart]] &lt;= Inputs!$B$1, TRUE, FALSE)</f>
        <v>0</v>
      </c>
    </row>
    <row r="868" spans="1:10" x14ac:dyDescent="0.3">
      <c r="A868" s="15">
        <v>45962</v>
      </c>
      <c r="B868" s="17" t="s">
        <v>64</v>
      </c>
      <c r="C868" s="3" t="s">
        <v>5</v>
      </c>
      <c r="D868" s="3" t="str">
        <f>VLOOKUP(C868, Ref_Department!$A$2:$D$6, 2, FALSE)</f>
        <v>Human Resources</v>
      </c>
      <c r="E868" s="3" t="s">
        <v>37</v>
      </c>
      <c r="F868" s="3" t="str">
        <f>VLOOKUP(E868, Ref_GLAccount!$A$2:$D$9, 2, FALSE)</f>
        <v>Benefits</v>
      </c>
      <c r="G868" s="3" t="str">
        <f>VLOOKUP(E868, Ref_GLAccount!$A$2:$D$9, 3, FALSE)</f>
        <v>Personnel</v>
      </c>
      <c r="H868" s="6" t="s">
        <v>66</v>
      </c>
      <c r="I868" s="7">
        <v>12843.49</v>
      </c>
      <c r="J868" s="18" t="b">
        <f>IF(tblFactFinance[[#This Row],[MonthStart]] &lt;= Inputs!$B$1, TRUE, FALSE)</f>
        <v>0</v>
      </c>
    </row>
    <row r="869" spans="1:10" x14ac:dyDescent="0.3">
      <c r="A869" s="15">
        <v>45962</v>
      </c>
      <c r="B869" s="17" t="s">
        <v>64</v>
      </c>
      <c r="C869" s="3" t="s">
        <v>5</v>
      </c>
      <c r="D869" s="3" t="str">
        <f>VLOOKUP(C869, Ref_Department!$A$2:$D$6, 2, FALSE)</f>
        <v>Human Resources</v>
      </c>
      <c r="E869" s="3" t="s">
        <v>37</v>
      </c>
      <c r="F869" s="3" t="str">
        <f>VLOOKUP(E869, Ref_GLAccount!$A$2:$D$9, 2, FALSE)</f>
        <v>Benefits</v>
      </c>
      <c r="G869" s="3" t="str">
        <f>VLOOKUP(E869, Ref_GLAccount!$A$2:$D$9, 3, FALSE)</f>
        <v>Personnel</v>
      </c>
      <c r="H869" s="6" t="s">
        <v>70</v>
      </c>
      <c r="I869" s="7">
        <v>11783.2</v>
      </c>
      <c r="J869" s="18" t="b">
        <f>IF(tblFactFinance[[#This Row],[MonthStart]] &lt;= Inputs!$B$1, TRUE, FALSE)</f>
        <v>0</v>
      </c>
    </row>
    <row r="870" spans="1:10" x14ac:dyDescent="0.3">
      <c r="A870" s="15">
        <v>45962</v>
      </c>
      <c r="B870" s="17" t="s">
        <v>64</v>
      </c>
      <c r="C870" s="3" t="s">
        <v>5</v>
      </c>
      <c r="D870" s="3" t="str">
        <f>VLOOKUP(C870, Ref_Department!$A$2:$D$6, 2, FALSE)</f>
        <v>Human Resources</v>
      </c>
      <c r="E870" s="3" t="s">
        <v>7</v>
      </c>
      <c r="F870" s="3" t="str">
        <f>VLOOKUP(E870, Ref_GLAccount!$A$2:$D$9, 2, FALSE)</f>
        <v>Occupancy &amp; Facilities</v>
      </c>
      <c r="G870" s="3" t="str">
        <f>VLOOKUP(E870, Ref_GLAccount!$A$2:$D$9, 3, FALSE)</f>
        <v>Facilities</v>
      </c>
      <c r="H870" s="6" t="s">
        <v>66</v>
      </c>
      <c r="I870" s="7">
        <v>3948.97</v>
      </c>
      <c r="J870" s="18" t="b">
        <f>IF(tblFactFinance[[#This Row],[MonthStart]] &lt;= Inputs!$B$1, TRUE, FALSE)</f>
        <v>0</v>
      </c>
    </row>
    <row r="871" spans="1:10" x14ac:dyDescent="0.3">
      <c r="A871" s="15">
        <v>45962</v>
      </c>
      <c r="B871" s="17" t="s">
        <v>64</v>
      </c>
      <c r="C871" s="3" t="s">
        <v>5</v>
      </c>
      <c r="D871" s="3" t="str">
        <f>VLOOKUP(C871, Ref_Department!$A$2:$D$6, 2, FALSE)</f>
        <v>Human Resources</v>
      </c>
      <c r="E871" s="3" t="s">
        <v>7</v>
      </c>
      <c r="F871" s="3" t="str">
        <f>VLOOKUP(E871, Ref_GLAccount!$A$2:$D$9, 2, FALSE)</f>
        <v>Occupancy &amp; Facilities</v>
      </c>
      <c r="G871" s="3" t="str">
        <f>VLOOKUP(E871, Ref_GLAccount!$A$2:$D$9, 3, FALSE)</f>
        <v>Facilities</v>
      </c>
      <c r="H871" s="6" t="s">
        <v>70</v>
      </c>
      <c r="I871" s="7">
        <v>4000</v>
      </c>
      <c r="J871" s="18" t="b">
        <f>IF(tblFactFinance[[#This Row],[MonthStart]] &lt;= Inputs!$B$1, TRUE, FALSE)</f>
        <v>0</v>
      </c>
    </row>
    <row r="872" spans="1:10" x14ac:dyDescent="0.3">
      <c r="A872" s="15">
        <v>45962</v>
      </c>
      <c r="B872" s="17" t="s">
        <v>64</v>
      </c>
      <c r="C872" s="3" t="s">
        <v>5</v>
      </c>
      <c r="D872" s="3" t="str">
        <f>VLOOKUP(C872, Ref_Department!$A$2:$D$6, 2, FALSE)</f>
        <v>Human Resources</v>
      </c>
      <c r="E872" s="3" t="s">
        <v>8</v>
      </c>
      <c r="F872" s="3" t="str">
        <f>VLOOKUP(E872, Ref_GLAccount!$A$2:$D$9, 2, FALSE)</f>
        <v>IT Software &amp; Subscriptions</v>
      </c>
      <c r="G872" s="3" t="str">
        <f>VLOOKUP(E872, Ref_GLAccount!$A$2:$D$9, 3, FALSE)</f>
        <v>IT</v>
      </c>
      <c r="H872" s="6" t="s">
        <v>66</v>
      </c>
      <c r="I872" s="7">
        <v>5192.4799999999996</v>
      </c>
      <c r="J872" s="18" t="b">
        <f>IF(tblFactFinance[[#This Row],[MonthStart]] &lt;= Inputs!$B$1, TRUE, FALSE)</f>
        <v>0</v>
      </c>
    </row>
    <row r="873" spans="1:10" x14ac:dyDescent="0.3">
      <c r="A873" s="15">
        <v>45962</v>
      </c>
      <c r="B873" s="17" t="s">
        <v>64</v>
      </c>
      <c r="C873" s="3" t="s">
        <v>5</v>
      </c>
      <c r="D873" s="3" t="str">
        <f>VLOOKUP(C873, Ref_Department!$A$2:$D$6, 2, FALSE)</f>
        <v>Human Resources</v>
      </c>
      <c r="E873" s="3" t="s">
        <v>8</v>
      </c>
      <c r="F873" s="3" t="str">
        <f>VLOOKUP(E873, Ref_GLAccount!$A$2:$D$9, 2, FALSE)</f>
        <v>IT Software &amp; Subscriptions</v>
      </c>
      <c r="G873" s="3" t="str">
        <f>VLOOKUP(E873, Ref_GLAccount!$A$2:$D$9, 3, FALSE)</f>
        <v>IT</v>
      </c>
      <c r="H873" s="6" t="s">
        <v>70</v>
      </c>
      <c r="I873" s="7">
        <v>5200</v>
      </c>
      <c r="J873" s="18" t="b">
        <f>IF(tblFactFinance[[#This Row],[MonthStart]] &lt;= Inputs!$B$1, TRUE, FALSE)</f>
        <v>0</v>
      </c>
    </row>
    <row r="874" spans="1:10" x14ac:dyDescent="0.3">
      <c r="A874" s="15">
        <v>45962</v>
      </c>
      <c r="B874" s="17" t="s">
        <v>64</v>
      </c>
      <c r="C874" s="3" t="s">
        <v>5</v>
      </c>
      <c r="D874" s="3" t="str">
        <f>VLOOKUP(C874, Ref_Department!$A$2:$D$6, 2, FALSE)</f>
        <v>Human Resources</v>
      </c>
      <c r="E874" s="3" t="s">
        <v>9</v>
      </c>
      <c r="F874" s="3" t="str">
        <f>VLOOKUP(E874, Ref_GLAccount!$A$2:$D$9, 2, FALSE)</f>
        <v>Marketing &amp; Advertising</v>
      </c>
      <c r="G874" s="3" t="str">
        <f>VLOOKUP(E874, Ref_GLAccount!$A$2:$D$9, 3, FALSE)</f>
        <v>Marketing</v>
      </c>
      <c r="H874" s="6" t="s">
        <v>66</v>
      </c>
      <c r="I874" s="7">
        <v>1623.03</v>
      </c>
      <c r="J874" s="18" t="b">
        <f>IF(tblFactFinance[[#This Row],[MonthStart]] &lt;= Inputs!$B$1, TRUE, FALSE)</f>
        <v>0</v>
      </c>
    </row>
    <row r="875" spans="1:10" x14ac:dyDescent="0.3">
      <c r="A875" s="15">
        <v>45962</v>
      </c>
      <c r="B875" s="17" t="s">
        <v>64</v>
      </c>
      <c r="C875" s="3" t="s">
        <v>5</v>
      </c>
      <c r="D875" s="3" t="str">
        <f>VLOOKUP(C875, Ref_Department!$A$2:$D$6, 2, FALSE)</f>
        <v>Human Resources</v>
      </c>
      <c r="E875" s="3" t="s">
        <v>9</v>
      </c>
      <c r="F875" s="3" t="str">
        <f>VLOOKUP(E875, Ref_GLAccount!$A$2:$D$9, 2, FALSE)</f>
        <v>Marketing &amp; Advertising</v>
      </c>
      <c r="G875" s="3" t="str">
        <f>VLOOKUP(E875, Ref_GLAccount!$A$2:$D$9, 3, FALSE)</f>
        <v>Marketing</v>
      </c>
      <c r="H875" s="6" t="s">
        <v>70</v>
      </c>
      <c r="I875" s="7">
        <v>1622.4</v>
      </c>
      <c r="J875" s="18" t="b">
        <f>IF(tblFactFinance[[#This Row],[MonthStart]] &lt;= Inputs!$B$1, TRUE, FALSE)</f>
        <v>0</v>
      </c>
    </row>
    <row r="876" spans="1:10" x14ac:dyDescent="0.3">
      <c r="A876" s="15">
        <v>45962</v>
      </c>
      <c r="B876" s="17" t="s">
        <v>64</v>
      </c>
      <c r="C876" s="3" t="s">
        <v>5</v>
      </c>
      <c r="D876" s="3" t="str">
        <f>VLOOKUP(C876, Ref_Department!$A$2:$D$6, 2, FALSE)</f>
        <v>Human Resources</v>
      </c>
      <c r="E876" s="3" t="s">
        <v>10</v>
      </c>
      <c r="F876" s="3" t="str">
        <f>VLOOKUP(E876, Ref_GLAccount!$A$2:$D$9, 2, FALSE)</f>
        <v>Professional Services</v>
      </c>
      <c r="G876" s="3" t="str">
        <f>VLOOKUP(E876, Ref_GLAccount!$A$2:$D$9, 3, FALSE)</f>
        <v>Professional Services</v>
      </c>
      <c r="H876" s="6" t="s">
        <v>66</v>
      </c>
      <c r="I876" s="7">
        <v>3922.78</v>
      </c>
      <c r="J876" s="18" t="b">
        <f>IF(tblFactFinance[[#This Row],[MonthStart]] &lt;= Inputs!$B$1, TRUE, FALSE)</f>
        <v>0</v>
      </c>
    </row>
    <row r="877" spans="1:10" x14ac:dyDescent="0.3">
      <c r="A877" s="15">
        <v>45962</v>
      </c>
      <c r="B877" s="17" t="s">
        <v>64</v>
      </c>
      <c r="C877" s="3" t="s">
        <v>5</v>
      </c>
      <c r="D877" s="3" t="str">
        <f>VLOOKUP(C877, Ref_Department!$A$2:$D$6, 2, FALSE)</f>
        <v>Human Resources</v>
      </c>
      <c r="E877" s="3" t="s">
        <v>10</v>
      </c>
      <c r="F877" s="3" t="str">
        <f>VLOOKUP(E877, Ref_GLAccount!$A$2:$D$9, 2, FALSE)</f>
        <v>Professional Services</v>
      </c>
      <c r="G877" s="3" t="str">
        <f>VLOOKUP(E877, Ref_GLAccount!$A$2:$D$9, 3, FALSE)</f>
        <v>Professional Services</v>
      </c>
      <c r="H877" s="6" t="s">
        <v>70</v>
      </c>
      <c r="I877" s="7">
        <v>3640</v>
      </c>
      <c r="J877" s="18" t="b">
        <f>IF(tblFactFinance[[#This Row],[MonthStart]] &lt;= Inputs!$B$1, TRUE, FALSE)</f>
        <v>0</v>
      </c>
    </row>
    <row r="878" spans="1:10" x14ac:dyDescent="0.3">
      <c r="A878" s="15">
        <v>45962</v>
      </c>
      <c r="B878" s="17" t="s">
        <v>64</v>
      </c>
      <c r="C878" s="3" t="s">
        <v>5</v>
      </c>
      <c r="D878" s="3" t="str">
        <f>VLOOKUP(C878, Ref_Department!$A$2:$D$6, 2, FALSE)</f>
        <v>Human Resources</v>
      </c>
      <c r="E878" s="3" t="s">
        <v>11</v>
      </c>
      <c r="F878" s="3" t="str">
        <f>VLOOKUP(E878, Ref_GLAccount!$A$2:$D$9, 2, FALSE)</f>
        <v>Office Supplies</v>
      </c>
      <c r="G878" s="3" t="str">
        <f>VLOOKUP(E878, Ref_GLAccount!$A$2:$D$9, 3, FALSE)</f>
        <v>Other OPEX</v>
      </c>
      <c r="H878" s="6" t="s">
        <v>66</v>
      </c>
      <c r="I878" s="7">
        <v>580.79</v>
      </c>
      <c r="J878" s="18" t="b">
        <f>IF(tblFactFinance[[#This Row],[MonthStart]] &lt;= Inputs!$B$1, TRUE, FALSE)</f>
        <v>0</v>
      </c>
    </row>
    <row r="879" spans="1:10" x14ac:dyDescent="0.3">
      <c r="A879" s="15">
        <v>45962</v>
      </c>
      <c r="B879" s="17" t="s">
        <v>64</v>
      </c>
      <c r="C879" s="3" t="s">
        <v>5</v>
      </c>
      <c r="D879" s="3" t="str">
        <f>VLOOKUP(C879, Ref_Department!$A$2:$D$6, 2, FALSE)</f>
        <v>Human Resources</v>
      </c>
      <c r="E879" s="3" t="s">
        <v>11</v>
      </c>
      <c r="F879" s="3" t="str">
        <f>VLOOKUP(E879, Ref_GLAccount!$A$2:$D$9, 2, FALSE)</f>
        <v>Office Supplies</v>
      </c>
      <c r="G879" s="3" t="str">
        <f>VLOOKUP(E879, Ref_GLAccount!$A$2:$D$9, 3, FALSE)</f>
        <v>Other OPEX</v>
      </c>
      <c r="H879" s="6" t="s">
        <v>70</v>
      </c>
      <c r="I879" s="7">
        <v>624</v>
      </c>
      <c r="J879" s="18" t="b">
        <f>IF(tblFactFinance[[#This Row],[MonthStart]] &lt;= Inputs!$B$1, TRUE, FALSE)</f>
        <v>0</v>
      </c>
    </row>
    <row r="880" spans="1:10" x14ac:dyDescent="0.3">
      <c r="A880" s="15">
        <v>45962</v>
      </c>
      <c r="B880" s="17" t="s">
        <v>64</v>
      </c>
      <c r="C880" s="3" t="s">
        <v>5</v>
      </c>
      <c r="D880" s="3" t="str">
        <f>VLOOKUP(C880, Ref_Department!$A$2:$D$6, 2, FALSE)</f>
        <v>Human Resources</v>
      </c>
      <c r="E880" s="3" t="s">
        <v>12</v>
      </c>
      <c r="F880" s="3" t="str">
        <f>VLOOKUP(E880, Ref_GLAccount!$A$2:$D$9, 2, FALSE)</f>
        <v>Training &amp; Development</v>
      </c>
      <c r="G880" s="3" t="str">
        <f>VLOOKUP(E880, Ref_GLAccount!$A$2:$D$9, 3, FALSE)</f>
        <v>Other OPEX</v>
      </c>
      <c r="H880" s="6" t="s">
        <v>66</v>
      </c>
      <c r="I880" s="7">
        <v>1696.33</v>
      </c>
      <c r="J880" s="18" t="b">
        <f>IF(tblFactFinance[[#This Row],[MonthStart]] &lt;= Inputs!$B$1, TRUE, FALSE)</f>
        <v>0</v>
      </c>
    </row>
    <row r="881" spans="1:10" x14ac:dyDescent="0.3">
      <c r="A881" s="15">
        <v>45962</v>
      </c>
      <c r="B881" s="17" t="s">
        <v>64</v>
      </c>
      <c r="C881" s="3" t="s">
        <v>5</v>
      </c>
      <c r="D881" s="3" t="str">
        <f>VLOOKUP(C881, Ref_Department!$A$2:$D$6, 2, FALSE)</f>
        <v>Human Resources</v>
      </c>
      <c r="E881" s="3" t="s">
        <v>12</v>
      </c>
      <c r="F881" s="3" t="str">
        <f>VLOOKUP(E881, Ref_GLAccount!$A$2:$D$9, 2, FALSE)</f>
        <v>Training &amp; Development</v>
      </c>
      <c r="G881" s="3" t="str">
        <f>VLOOKUP(E881, Ref_GLAccount!$A$2:$D$9, 3, FALSE)</f>
        <v>Other OPEX</v>
      </c>
      <c r="H881" s="6" t="s">
        <v>70</v>
      </c>
      <c r="I881" s="7">
        <v>1664</v>
      </c>
      <c r="J881" s="18" t="b">
        <f>IF(tblFactFinance[[#This Row],[MonthStart]] &lt;= Inputs!$B$1, TRUE, FALSE)</f>
        <v>0</v>
      </c>
    </row>
    <row r="882" spans="1:10" x14ac:dyDescent="0.3">
      <c r="A882" s="15">
        <v>45992</v>
      </c>
      <c r="B882" s="17" t="s">
        <v>65</v>
      </c>
      <c r="C882" s="3" t="s">
        <v>1</v>
      </c>
      <c r="D882" s="3" t="str">
        <f>VLOOKUP(C882, Ref_Department!$A$2:$D$6, 2, FALSE)</f>
        <v>Branch Operations</v>
      </c>
      <c r="E882" s="3" t="s">
        <v>33</v>
      </c>
      <c r="F882" s="3" t="str">
        <f>VLOOKUP(E882, Ref_GLAccount!$A$2:$D$9, 2, FALSE)</f>
        <v>Salaries</v>
      </c>
      <c r="G882" s="3" t="str">
        <f>VLOOKUP(E882, Ref_GLAccount!$A$2:$D$9, 3, FALSE)</f>
        <v>Personnel</v>
      </c>
      <c r="H882" s="6" t="s">
        <v>66</v>
      </c>
      <c r="I882" s="7">
        <v>189033.34</v>
      </c>
      <c r="J882" s="18" t="b">
        <f>IF(tblFactFinance[[#This Row],[MonthStart]] &lt;= Inputs!$B$1, TRUE, FALSE)</f>
        <v>0</v>
      </c>
    </row>
    <row r="883" spans="1:10" x14ac:dyDescent="0.3">
      <c r="A883" s="15">
        <v>45992</v>
      </c>
      <c r="B883" s="17" t="s">
        <v>65</v>
      </c>
      <c r="C883" s="3" t="s">
        <v>1</v>
      </c>
      <c r="D883" s="3" t="str">
        <f>VLOOKUP(C883, Ref_Department!$A$2:$D$6, 2, FALSE)</f>
        <v>Branch Operations</v>
      </c>
      <c r="E883" s="3" t="s">
        <v>33</v>
      </c>
      <c r="F883" s="3" t="str">
        <f>VLOOKUP(E883, Ref_GLAccount!$A$2:$D$9, 2, FALSE)</f>
        <v>Salaries</v>
      </c>
      <c r="G883" s="3" t="str">
        <f>VLOOKUP(E883, Ref_GLAccount!$A$2:$D$9, 3, FALSE)</f>
        <v>Personnel</v>
      </c>
      <c r="H883" s="6" t="s">
        <v>70</v>
      </c>
      <c r="I883" s="7">
        <v>200850</v>
      </c>
      <c r="J883" s="18" t="b">
        <f>IF(tblFactFinance[[#This Row],[MonthStart]] &lt;= Inputs!$B$1, TRUE, FALSE)</f>
        <v>0</v>
      </c>
    </row>
    <row r="884" spans="1:10" x14ac:dyDescent="0.3">
      <c r="A884" s="15">
        <v>45992</v>
      </c>
      <c r="B884" s="17" t="s">
        <v>65</v>
      </c>
      <c r="C884" s="3" t="s">
        <v>1</v>
      </c>
      <c r="D884" s="3" t="str">
        <f>VLOOKUP(C884, Ref_Department!$A$2:$D$6, 2, FALSE)</f>
        <v>Branch Operations</v>
      </c>
      <c r="E884" s="3" t="s">
        <v>37</v>
      </c>
      <c r="F884" s="3" t="str">
        <f>VLOOKUP(E884, Ref_GLAccount!$A$2:$D$9, 2, FALSE)</f>
        <v>Benefits</v>
      </c>
      <c r="G884" s="3" t="str">
        <f>VLOOKUP(E884, Ref_GLAccount!$A$2:$D$9, 3, FALSE)</f>
        <v>Personnel</v>
      </c>
      <c r="H884" s="6" t="s">
        <v>66</v>
      </c>
      <c r="I884" s="7">
        <v>39624.129999999997</v>
      </c>
      <c r="J884" s="18" t="b">
        <f>IF(tblFactFinance[[#This Row],[MonthStart]] &lt;= Inputs!$B$1, TRUE, FALSE)</f>
        <v>0</v>
      </c>
    </row>
    <row r="885" spans="1:10" x14ac:dyDescent="0.3">
      <c r="A885" s="15">
        <v>45992</v>
      </c>
      <c r="B885" s="17" t="s">
        <v>65</v>
      </c>
      <c r="C885" s="3" t="s">
        <v>1</v>
      </c>
      <c r="D885" s="3" t="str">
        <f>VLOOKUP(C885, Ref_Department!$A$2:$D$6, 2, FALSE)</f>
        <v>Branch Operations</v>
      </c>
      <c r="E885" s="3" t="s">
        <v>37</v>
      </c>
      <c r="F885" s="3" t="str">
        <f>VLOOKUP(E885, Ref_GLAccount!$A$2:$D$9, 2, FALSE)</f>
        <v>Benefits</v>
      </c>
      <c r="G885" s="3" t="str">
        <f>VLOOKUP(E885, Ref_GLAccount!$A$2:$D$9, 3, FALSE)</f>
        <v>Personnel</v>
      </c>
      <c r="H885" s="6" t="s">
        <v>70</v>
      </c>
      <c r="I885" s="7">
        <v>44187</v>
      </c>
      <c r="J885" s="18" t="b">
        <f>IF(tblFactFinance[[#This Row],[MonthStart]] &lt;= Inputs!$B$1, TRUE, FALSE)</f>
        <v>0</v>
      </c>
    </row>
    <row r="886" spans="1:10" x14ac:dyDescent="0.3">
      <c r="A886" s="15">
        <v>45992</v>
      </c>
      <c r="B886" s="17" t="s">
        <v>65</v>
      </c>
      <c r="C886" s="3" t="s">
        <v>1</v>
      </c>
      <c r="D886" s="3" t="str">
        <f>VLOOKUP(C886, Ref_Department!$A$2:$D$6, 2, FALSE)</f>
        <v>Branch Operations</v>
      </c>
      <c r="E886" s="3" t="s">
        <v>7</v>
      </c>
      <c r="F886" s="3" t="str">
        <f>VLOOKUP(E886, Ref_GLAccount!$A$2:$D$9, 2, FALSE)</f>
        <v>Occupancy &amp; Facilities</v>
      </c>
      <c r="G886" s="3" t="str">
        <f>VLOOKUP(E886, Ref_GLAccount!$A$2:$D$9, 3, FALSE)</f>
        <v>Facilities</v>
      </c>
      <c r="H886" s="6" t="s">
        <v>66</v>
      </c>
      <c r="I886" s="7">
        <v>37024.03</v>
      </c>
      <c r="J886" s="18" t="b">
        <f>IF(tblFactFinance[[#This Row],[MonthStart]] &lt;= Inputs!$B$1, TRUE, FALSE)</f>
        <v>0</v>
      </c>
    </row>
    <row r="887" spans="1:10" x14ac:dyDescent="0.3">
      <c r="A887" s="15">
        <v>45992</v>
      </c>
      <c r="B887" s="17" t="s">
        <v>65</v>
      </c>
      <c r="C887" s="3" t="s">
        <v>1</v>
      </c>
      <c r="D887" s="3" t="str">
        <f>VLOOKUP(C887, Ref_Department!$A$2:$D$6, 2, FALSE)</f>
        <v>Branch Operations</v>
      </c>
      <c r="E887" s="3" t="s">
        <v>7</v>
      </c>
      <c r="F887" s="3" t="str">
        <f>VLOOKUP(E887, Ref_GLAccount!$A$2:$D$9, 2, FALSE)</f>
        <v>Occupancy &amp; Facilities</v>
      </c>
      <c r="G887" s="3" t="str">
        <f>VLOOKUP(E887, Ref_GLAccount!$A$2:$D$9, 3, FALSE)</f>
        <v>Facilities</v>
      </c>
      <c r="H887" s="6" t="s">
        <v>70</v>
      </c>
      <c r="I887" s="7">
        <v>38000</v>
      </c>
      <c r="J887" s="18" t="b">
        <f>IF(tblFactFinance[[#This Row],[MonthStart]] &lt;= Inputs!$B$1, TRUE, FALSE)</f>
        <v>0</v>
      </c>
    </row>
    <row r="888" spans="1:10" x14ac:dyDescent="0.3">
      <c r="A888" s="15">
        <v>45992</v>
      </c>
      <c r="B888" s="17" t="s">
        <v>65</v>
      </c>
      <c r="C888" s="3" t="s">
        <v>1</v>
      </c>
      <c r="D888" s="3" t="str">
        <f>VLOOKUP(C888, Ref_Department!$A$2:$D$6, 2, FALSE)</f>
        <v>Branch Operations</v>
      </c>
      <c r="E888" s="3" t="s">
        <v>8</v>
      </c>
      <c r="F888" s="3" t="str">
        <f>VLOOKUP(E888, Ref_GLAccount!$A$2:$D$9, 2, FALSE)</f>
        <v>IT Software &amp; Subscriptions</v>
      </c>
      <c r="G888" s="3" t="str">
        <f>VLOOKUP(E888, Ref_GLAccount!$A$2:$D$9, 3, FALSE)</f>
        <v>IT</v>
      </c>
      <c r="H888" s="6" t="s">
        <v>66</v>
      </c>
      <c r="I888" s="7">
        <v>11790.22</v>
      </c>
      <c r="J888" s="18" t="b">
        <f>IF(tblFactFinance[[#This Row],[MonthStart]] &lt;= Inputs!$B$1, TRUE, FALSE)</f>
        <v>0</v>
      </c>
    </row>
    <row r="889" spans="1:10" x14ac:dyDescent="0.3">
      <c r="A889" s="15">
        <v>45992</v>
      </c>
      <c r="B889" s="17" t="s">
        <v>65</v>
      </c>
      <c r="C889" s="3" t="s">
        <v>1</v>
      </c>
      <c r="D889" s="3" t="str">
        <f>VLOOKUP(C889, Ref_Department!$A$2:$D$6, 2, FALSE)</f>
        <v>Branch Operations</v>
      </c>
      <c r="E889" s="3" t="s">
        <v>8</v>
      </c>
      <c r="F889" s="3" t="str">
        <f>VLOOKUP(E889, Ref_GLAccount!$A$2:$D$9, 2, FALSE)</f>
        <v>IT Software &amp; Subscriptions</v>
      </c>
      <c r="G889" s="3" t="str">
        <f>VLOOKUP(E889, Ref_GLAccount!$A$2:$D$9, 3, FALSE)</f>
        <v>IT</v>
      </c>
      <c r="H889" s="6" t="s">
        <v>70</v>
      </c>
      <c r="I889" s="7">
        <v>12480</v>
      </c>
      <c r="J889" s="18" t="b">
        <f>IF(tblFactFinance[[#This Row],[MonthStart]] &lt;= Inputs!$B$1, TRUE, FALSE)</f>
        <v>0</v>
      </c>
    </row>
    <row r="890" spans="1:10" x14ac:dyDescent="0.3">
      <c r="A890" s="15">
        <v>45992</v>
      </c>
      <c r="B890" s="17" t="s">
        <v>65</v>
      </c>
      <c r="C890" s="3" t="s">
        <v>1</v>
      </c>
      <c r="D890" s="3" t="str">
        <f>VLOOKUP(C890, Ref_Department!$A$2:$D$6, 2, FALSE)</f>
        <v>Branch Operations</v>
      </c>
      <c r="E890" s="3" t="s">
        <v>9</v>
      </c>
      <c r="F890" s="3" t="str">
        <f>VLOOKUP(E890, Ref_GLAccount!$A$2:$D$9, 2, FALSE)</f>
        <v>Marketing &amp; Advertising</v>
      </c>
      <c r="G890" s="3" t="str">
        <f>VLOOKUP(E890, Ref_GLAccount!$A$2:$D$9, 3, FALSE)</f>
        <v>Marketing</v>
      </c>
      <c r="H890" s="6" t="s">
        <v>66</v>
      </c>
      <c r="I890" s="7">
        <v>5205.46</v>
      </c>
      <c r="J890" s="18" t="b">
        <f>IF(tblFactFinance[[#This Row],[MonthStart]] &lt;= Inputs!$B$1, TRUE, FALSE)</f>
        <v>0</v>
      </c>
    </row>
    <row r="891" spans="1:10" x14ac:dyDescent="0.3">
      <c r="A891" s="15">
        <v>45992</v>
      </c>
      <c r="B891" s="17" t="s">
        <v>65</v>
      </c>
      <c r="C891" s="3" t="s">
        <v>1</v>
      </c>
      <c r="D891" s="3" t="str">
        <f>VLOOKUP(C891, Ref_Department!$A$2:$D$6, 2, FALSE)</f>
        <v>Branch Operations</v>
      </c>
      <c r="E891" s="3" t="s">
        <v>9</v>
      </c>
      <c r="F891" s="3" t="str">
        <f>VLOOKUP(E891, Ref_GLAccount!$A$2:$D$9, 2, FALSE)</f>
        <v>Marketing &amp; Advertising</v>
      </c>
      <c r="G891" s="3" t="str">
        <f>VLOOKUP(E891, Ref_GLAccount!$A$2:$D$9, 3, FALSE)</f>
        <v>Marketing</v>
      </c>
      <c r="H891" s="6" t="s">
        <v>70</v>
      </c>
      <c r="I891" s="7">
        <v>4992</v>
      </c>
      <c r="J891" s="18" t="b">
        <f>IF(tblFactFinance[[#This Row],[MonthStart]] &lt;= Inputs!$B$1, TRUE, FALSE)</f>
        <v>0</v>
      </c>
    </row>
    <row r="892" spans="1:10" x14ac:dyDescent="0.3">
      <c r="A892" s="15">
        <v>45992</v>
      </c>
      <c r="B892" s="17" t="s">
        <v>65</v>
      </c>
      <c r="C892" s="3" t="s">
        <v>1</v>
      </c>
      <c r="D892" s="3" t="str">
        <f>VLOOKUP(C892, Ref_Department!$A$2:$D$6, 2, FALSE)</f>
        <v>Branch Operations</v>
      </c>
      <c r="E892" s="3" t="s">
        <v>10</v>
      </c>
      <c r="F892" s="3" t="str">
        <f>VLOOKUP(E892, Ref_GLAccount!$A$2:$D$9, 2, FALSE)</f>
        <v>Professional Services</v>
      </c>
      <c r="G892" s="3" t="str">
        <f>VLOOKUP(E892, Ref_GLAccount!$A$2:$D$9, 3, FALSE)</f>
        <v>Professional Services</v>
      </c>
      <c r="H892" s="6" t="s">
        <v>66</v>
      </c>
      <c r="I892" s="7">
        <v>5019.38</v>
      </c>
      <c r="J892" s="18" t="b">
        <f>IF(tblFactFinance[[#This Row],[MonthStart]] &lt;= Inputs!$B$1, TRUE, FALSE)</f>
        <v>0</v>
      </c>
    </row>
    <row r="893" spans="1:10" x14ac:dyDescent="0.3">
      <c r="A893" s="15">
        <v>45992</v>
      </c>
      <c r="B893" s="17" t="s">
        <v>65</v>
      </c>
      <c r="C893" s="3" t="s">
        <v>1</v>
      </c>
      <c r="D893" s="3" t="str">
        <f>VLOOKUP(C893, Ref_Department!$A$2:$D$6, 2, FALSE)</f>
        <v>Branch Operations</v>
      </c>
      <c r="E893" s="3" t="s">
        <v>10</v>
      </c>
      <c r="F893" s="3" t="str">
        <f>VLOOKUP(E893, Ref_GLAccount!$A$2:$D$9, 2, FALSE)</f>
        <v>Professional Services</v>
      </c>
      <c r="G893" s="3" t="str">
        <f>VLOOKUP(E893, Ref_GLAccount!$A$2:$D$9, 3, FALSE)</f>
        <v>Professional Services</v>
      </c>
      <c r="H893" s="6" t="s">
        <v>70</v>
      </c>
      <c r="I893" s="7">
        <v>5200</v>
      </c>
      <c r="J893" s="18" t="b">
        <f>IF(tblFactFinance[[#This Row],[MonthStart]] &lt;= Inputs!$B$1, TRUE, FALSE)</f>
        <v>0</v>
      </c>
    </row>
    <row r="894" spans="1:10" x14ac:dyDescent="0.3">
      <c r="A894" s="15">
        <v>45992</v>
      </c>
      <c r="B894" s="17" t="s">
        <v>65</v>
      </c>
      <c r="C894" s="3" t="s">
        <v>1</v>
      </c>
      <c r="D894" s="3" t="str">
        <f>VLOOKUP(C894, Ref_Department!$A$2:$D$6, 2, FALSE)</f>
        <v>Branch Operations</v>
      </c>
      <c r="E894" s="3" t="s">
        <v>11</v>
      </c>
      <c r="F894" s="3" t="str">
        <f>VLOOKUP(E894, Ref_GLAccount!$A$2:$D$9, 2, FALSE)</f>
        <v>Office Supplies</v>
      </c>
      <c r="G894" s="3" t="str">
        <f>VLOOKUP(E894, Ref_GLAccount!$A$2:$D$9, 3, FALSE)</f>
        <v>Other OPEX</v>
      </c>
      <c r="H894" s="6" t="s">
        <v>66</v>
      </c>
      <c r="I894" s="7">
        <v>1545.81</v>
      </c>
      <c r="J894" s="18" t="b">
        <f>IF(tblFactFinance[[#This Row],[MonthStart]] &lt;= Inputs!$B$1, TRUE, FALSE)</f>
        <v>0</v>
      </c>
    </row>
    <row r="895" spans="1:10" x14ac:dyDescent="0.3">
      <c r="A895" s="15">
        <v>45992</v>
      </c>
      <c r="B895" s="17" t="s">
        <v>65</v>
      </c>
      <c r="C895" s="3" t="s">
        <v>1</v>
      </c>
      <c r="D895" s="3" t="str">
        <f>VLOOKUP(C895, Ref_Department!$A$2:$D$6, 2, FALSE)</f>
        <v>Branch Operations</v>
      </c>
      <c r="E895" s="3" t="s">
        <v>11</v>
      </c>
      <c r="F895" s="3" t="str">
        <f>VLOOKUP(E895, Ref_GLAccount!$A$2:$D$9, 2, FALSE)</f>
        <v>Office Supplies</v>
      </c>
      <c r="G895" s="3" t="str">
        <f>VLOOKUP(E895, Ref_GLAccount!$A$2:$D$9, 3, FALSE)</f>
        <v>Other OPEX</v>
      </c>
      <c r="H895" s="6" t="s">
        <v>70</v>
      </c>
      <c r="I895" s="7">
        <v>1560</v>
      </c>
      <c r="J895" s="18" t="b">
        <f>IF(tblFactFinance[[#This Row],[MonthStart]] &lt;= Inputs!$B$1, TRUE, FALSE)</f>
        <v>0</v>
      </c>
    </row>
    <row r="896" spans="1:10" x14ac:dyDescent="0.3">
      <c r="A896" s="15">
        <v>45992</v>
      </c>
      <c r="B896" s="17" t="s">
        <v>65</v>
      </c>
      <c r="C896" s="3" t="s">
        <v>1</v>
      </c>
      <c r="D896" s="3" t="str">
        <f>VLOOKUP(C896, Ref_Department!$A$2:$D$6, 2, FALSE)</f>
        <v>Branch Operations</v>
      </c>
      <c r="E896" s="3" t="s">
        <v>12</v>
      </c>
      <c r="F896" s="3" t="str">
        <f>VLOOKUP(E896, Ref_GLAccount!$A$2:$D$9, 2, FALSE)</f>
        <v>Training &amp; Development</v>
      </c>
      <c r="G896" s="3" t="str">
        <f>VLOOKUP(E896, Ref_GLAccount!$A$2:$D$9, 3, FALSE)</f>
        <v>Other OPEX</v>
      </c>
      <c r="H896" s="6" t="s">
        <v>66</v>
      </c>
      <c r="I896" s="7">
        <v>1189.92</v>
      </c>
      <c r="J896" s="18" t="b">
        <f>IF(tblFactFinance[[#This Row],[MonthStart]] &lt;= Inputs!$B$1, TRUE, FALSE)</f>
        <v>0</v>
      </c>
    </row>
    <row r="897" spans="1:10" x14ac:dyDescent="0.3">
      <c r="A897" s="15">
        <v>45992</v>
      </c>
      <c r="B897" s="17" t="s">
        <v>65</v>
      </c>
      <c r="C897" s="3" t="s">
        <v>1</v>
      </c>
      <c r="D897" s="3" t="str">
        <f>VLOOKUP(C897, Ref_Department!$A$2:$D$6, 2, FALSE)</f>
        <v>Branch Operations</v>
      </c>
      <c r="E897" s="3" t="s">
        <v>12</v>
      </c>
      <c r="F897" s="3" t="str">
        <f>VLOOKUP(E897, Ref_GLAccount!$A$2:$D$9, 2, FALSE)</f>
        <v>Training &amp; Development</v>
      </c>
      <c r="G897" s="3" t="str">
        <f>VLOOKUP(E897, Ref_GLAccount!$A$2:$D$9, 3, FALSE)</f>
        <v>Other OPEX</v>
      </c>
      <c r="H897" s="6" t="s">
        <v>70</v>
      </c>
      <c r="I897" s="7">
        <v>1248</v>
      </c>
      <c r="J897" s="18" t="b">
        <f>IF(tblFactFinance[[#This Row],[MonthStart]] &lt;= Inputs!$B$1, TRUE, FALSE)</f>
        <v>0</v>
      </c>
    </row>
    <row r="898" spans="1:10" x14ac:dyDescent="0.3">
      <c r="A898" s="15">
        <v>45992</v>
      </c>
      <c r="B898" s="17" t="s">
        <v>65</v>
      </c>
      <c r="C898" s="3" t="s">
        <v>2</v>
      </c>
      <c r="D898" s="3" t="str">
        <f>VLOOKUP(C898, Ref_Department!$A$2:$D$6, 2, FALSE)</f>
        <v>Lending</v>
      </c>
      <c r="E898" s="3" t="s">
        <v>33</v>
      </c>
      <c r="F898" s="3" t="str">
        <f>VLOOKUP(E898, Ref_GLAccount!$A$2:$D$9, 2, FALSE)</f>
        <v>Salaries</v>
      </c>
      <c r="G898" s="3" t="str">
        <f>VLOOKUP(E898, Ref_GLAccount!$A$2:$D$9, 3, FALSE)</f>
        <v>Personnel</v>
      </c>
      <c r="H898" s="6" t="s">
        <v>66</v>
      </c>
      <c r="I898" s="7">
        <v>177268.75</v>
      </c>
      <c r="J898" s="18" t="b">
        <f>IF(tblFactFinance[[#This Row],[MonthStart]] &lt;= Inputs!$B$1, TRUE, FALSE)</f>
        <v>0</v>
      </c>
    </row>
    <row r="899" spans="1:10" x14ac:dyDescent="0.3">
      <c r="A899" s="15">
        <v>45992</v>
      </c>
      <c r="B899" s="17" t="s">
        <v>65</v>
      </c>
      <c r="C899" s="3" t="s">
        <v>2</v>
      </c>
      <c r="D899" s="3" t="str">
        <f>VLOOKUP(C899, Ref_Department!$A$2:$D$6, 2, FALSE)</f>
        <v>Lending</v>
      </c>
      <c r="E899" s="3" t="s">
        <v>33</v>
      </c>
      <c r="F899" s="3" t="str">
        <f>VLOOKUP(E899, Ref_GLAccount!$A$2:$D$9, 2, FALSE)</f>
        <v>Salaries</v>
      </c>
      <c r="G899" s="3" t="str">
        <f>VLOOKUP(E899, Ref_GLAccount!$A$2:$D$9, 3, FALSE)</f>
        <v>Personnel</v>
      </c>
      <c r="H899" s="6" t="s">
        <v>70</v>
      </c>
      <c r="I899" s="7">
        <v>173040</v>
      </c>
      <c r="J899" s="18" t="b">
        <f>IF(tblFactFinance[[#This Row],[MonthStart]] &lt;= Inputs!$B$1, TRUE, FALSE)</f>
        <v>0</v>
      </c>
    </row>
    <row r="900" spans="1:10" x14ac:dyDescent="0.3">
      <c r="A900" s="15">
        <v>45992</v>
      </c>
      <c r="B900" s="17" t="s">
        <v>65</v>
      </c>
      <c r="C900" s="3" t="s">
        <v>2</v>
      </c>
      <c r="D900" s="3" t="str">
        <f>VLOOKUP(C900, Ref_Department!$A$2:$D$6, 2, FALSE)</f>
        <v>Lending</v>
      </c>
      <c r="E900" s="3" t="s">
        <v>37</v>
      </c>
      <c r="F900" s="3" t="str">
        <f>VLOOKUP(E900, Ref_GLAccount!$A$2:$D$9, 2, FALSE)</f>
        <v>Benefits</v>
      </c>
      <c r="G900" s="3" t="str">
        <f>VLOOKUP(E900, Ref_GLAccount!$A$2:$D$9, 3, FALSE)</f>
        <v>Personnel</v>
      </c>
      <c r="H900" s="6" t="s">
        <v>66</v>
      </c>
      <c r="I900" s="7">
        <v>36390.79</v>
      </c>
      <c r="J900" s="18" t="b">
        <f>IF(tblFactFinance[[#This Row],[MonthStart]] &lt;= Inputs!$B$1, TRUE, FALSE)</f>
        <v>0</v>
      </c>
    </row>
    <row r="901" spans="1:10" x14ac:dyDescent="0.3">
      <c r="A901" s="15">
        <v>45992</v>
      </c>
      <c r="B901" s="17" t="s">
        <v>65</v>
      </c>
      <c r="C901" s="3" t="s">
        <v>2</v>
      </c>
      <c r="D901" s="3" t="str">
        <f>VLOOKUP(C901, Ref_Department!$A$2:$D$6, 2, FALSE)</f>
        <v>Lending</v>
      </c>
      <c r="E901" s="3" t="s">
        <v>37</v>
      </c>
      <c r="F901" s="3" t="str">
        <f>VLOOKUP(E901, Ref_GLAccount!$A$2:$D$9, 2, FALSE)</f>
        <v>Benefits</v>
      </c>
      <c r="G901" s="3" t="str">
        <f>VLOOKUP(E901, Ref_GLAccount!$A$2:$D$9, 3, FALSE)</f>
        <v>Personnel</v>
      </c>
      <c r="H901" s="6" t="s">
        <v>70</v>
      </c>
      <c r="I901" s="7">
        <v>38068.800000000003</v>
      </c>
      <c r="J901" s="18" t="b">
        <f>IF(tblFactFinance[[#This Row],[MonthStart]] &lt;= Inputs!$B$1, TRUE, FALSE)</f>
        <v>0</v>
      </c>
    </row>
    <row r="902" spans="1:10" x14ac:dyDescent="0.3">
      <c r="A902" s="15">
        <v>45992</v>
      </c>
      <c r="B902" s="17" t="s">
        <v>65</v>
      </c>
      <c r="C902" s="3" t="s">
        <v>2</v>
      </c>
      <c r="D902" s="3" t="str">
        <f>VLOOKUP(C902, Ref_Department!$A$2:$D$6, 2, FALSE)</f>
        <v>Lending</v>
      </c>
      <c r="E902" s="3" t="s">
        <v>7</v>
      </c>
      <c r="F902" s="3" t="str">
        <f>VLOOKUP(E902, Ref_GLAccount!$A$2:$D$9, 2, FALSE)</f>
        <v>Occupancy &amp; Facilities</v>
      </c>
      <c r="G902" s="3" t="str">
        <f>VLOOKUP(E902, Ref_GLAccount!$A$2:$D$9, 3, FALSE)</f>
        <v>Facilities</v>
      </c>
      <c r="H902" s="6" t="s">
        <v>66</v>
      </c>
      <c r="I902" s="7">
        <v>17853.900000000001</v>
      </c>
      <c r="J902" s="18" t="b">
        <f>IF(tblFactFinance[[#This Row],[MonthStart]] &lt;= Inputs!$B$1, TRUE, FALSE)</f>
        <v>0</v>
      </c>
    </row>
    <row r="903" spans="1:10" x14ac:dyDescent="0.3">
      <c r="A903" s="15">
        <v>45992</v>
      </c>
      <c r="B903" s="17" t="s">
        <v>65</v>
      </c>
      <c r="C903" s="3" t="s">
        <v>2</v>
      </c>
      <c r="D903" s="3" t="str">
        <f>VLOOKUP(C903, Ref_Department!$A$2:$D$6, 2, FALSE)</f>
        <v>Lending</v>
      </c>
      <c r="E903" s="3" t="s">
        <v>7</v>
      </c>
      <c r="F903" s="3" t="str">
        <f>VLOOKUP(E903, Ref_GLAccount!$A$2:$D$9, 2, FALSE)</f>
        <v>Occupancy &amp; Facilities</v>
      </c>
      <c r="G903" s="3" t="str">
        <f>VLOOKUP(E903, Ref_GLAccount!$A$2:$D$9, 3, FALSE)</f>
        <v>Facilities</v>
      </c>
      <c r="H903" s="6" t="s">
        <v>70</v>
      </c>
      <c r="I903" s="7">
        <v>16000</v>
      </c>
      <c r="J903" s="18" t="b">
        <f>IF(tblFactFinance[[#This Row],[MonthStart]] &lt;= Inputs!$B$1, TRUE, FALSE)</f>
        <v>0</v>
      </c>
    </row>
    <row r="904" spans="1:10" x14ac:dyDescent="0.3">
      <c r="A904" s="15">
        <v>45992</v>
      </c>
      <c r="B904" s="17" t="s">
        <v>65</v>
      </c>
      <c r="C904" s="3" t="s">
        <v>2</v>
      </c>
      <c r="D904" s="3" t="str">
        <f>VLOOKUP(C904, Ref_Department!$A$2:$D$6, 2, FALSE)</f>
        <v>Lending</v>
      </c>
      <c r="E904" s="3" t="s">
        <v>8</v>
      </c>
      <c r="F904" s="3" t="str">
        <f>VLOOKUP(E904, Ref_GLAccount!$A$2:$D$9, 2, FALSE)</f>
        <v>IT Software &amp; Subscriptions</v>
      </c>
      <c r="G904" s="3" t="str">
        <f>VLOOKUP(E904, Ref_GLAccount!$A$2:$D$9, 3, FALSE)</f>
        <v>IT</v>
      </c>
      <c r="H904" s="6" t="s">
        <v>66</v>
      </c>
      <c r="I904" s="7">
        <v>8988.18</v>
      </c>
      <c r="J904" s="18" t="b">
        <f>IF(tblFactFinance[[#This Row],[MonthStart]] &lt;= Inputs!$B$1, TRUE, FALSE)</f>
        <v>0</v>
      </c>
    </row>
    <row r="905" spans="1:10" x14ac:dyDescent="0.3">
      <c r="A905" s="15">
        <v>45992</v>
      </c>
      <c r="B905" s="17" t="s">
        <v>65</v>
      </c>
      <c r="C905" s="3" t="s">
        <v>2</v>
      </c>
      <c r="D905" s="3" t="str">
        <f>VLOOKUP(C905, Ref_Department!$A$2:$D$6, 2, FALSE)</f>
        <v>Lending</v>
      </c>
      <c r="E905" s="3" t="s">
        <v>8</v>
      </c>
      <c r="F905" s="3" t="str">
        <f>VLOOKUP(E905, Ref_GLAccount!$A$2:$D$9, 2, FALSE)</f>
        <v>IT Software &amp; Subscriptions</v>
      </c>
      <c r="G905" s="3" t="str">
        <f>VLOOKUP(E905, Ref_GLAccount!$A$2:$D$9, 3, FALSE)</f>
        <v>IT</v>
      </c>
      <c r="H905" s="6" t="s">
        <v>70</v>
      </c>
      <c r="I905" s="7">
        <v>9360</v>
      </c>
      <c r="J905" s="18" t="b">
        <f>IF(tblFactFinance[[#This Row],[MonthStart]] &lt;= Inputs!$B$1, TRUE, FALSE)</f>
        <v>0</v>
      </c>
    </row>
    <row r="906" spans="1:10" x14ac:dyDescent="0.3">
      <c r="A906" s="15">
        <v>45992</v>
      </c>
      <c r="B906" s="17" t="s">
        <v>65</v>
      </c>
      <c r="C906" s="3" t="s">
        <v>2</v>
      </c>
      <c r="D906" s="3" t="str">
        <f>VLOOKUP(C906, Ref_Department!$A$2:$D$6, 2, FALSE)</f>
        <v>Lending</v>
      </c>
      <c r="E906" s="3" t="s">
        <v>9</v>
      </c>
      <c r="F906" s="3" t="str">
        <f>VLOOKUP(E906, Ref_GLAccount!$A$2:$D$9, 2, FALSE)</f>
        <v>Marketing &amp; Advertising</v>
      </c>
      <c r="G906" s="3" t="str">
        <f>VLOOKUP(E906, Ref_GLAccount!$A$2:$D$9, 3, FALSE)</f>
        <v>Marketing</v>
      </c>
      <c r="H906" s="6" t="s">
        <v>66</v>
      </c>
      <c r="I906" s="7">
        <v>7258.92</v>
      </c>
      <c r="J906" s="18" t="b">
        <f>IF(tblFactFinance[[#This Row],[MonthStart]] &lt;= Inputs!$B$1, TRUE, FALSE)</f>
        <v>0</v>
      </c>
    </row>
    <row r="907" spans="1:10" x14ac:dyDescent="0.3">
      <c r="A907" s="15">
        <v>45992</v>
      </c>
      <c r="B907" s="17" t="s">
        <v>65</v>
      </c>
      <c r="C907" s="3" t="s">
        <v>2</v>
      </c>
      <c r="D907" s="3" t="str">
        <f>VLOOKUP(C907, Ref_Department!$A$2:$D$6, 2, FALSE)</f>
        <v>Lending</v>
      </c>
      <c r="E907" s="3" t="s">
        <v>9</v>
      </c>
      <c r="F907" s="3" t="str">
        <f>VLOOKUP(E907, Ref_GLAccount!$A$2:$D$9, 2, FALSE)</f>
        <v>Marketing &amp; Advertising</v>
      </c>
      <c r="G907" s="3" t="str">
        <f>VLOOKUP(E907, Ref_GLAccount!$A$2:$D$9, 3, FALSE)</f>
        <v>Marketing</v>
      </c>
      <c r="H907" s="6" t="s">
        <v>70</v>
      </c>
      <c r="I907" s="7">
        <v>7488</v>
      </c>
      <c r="J907" s="18" t="b">
        <f>IF(tblFactFinance[[#This Row],[MonthStart]] &lt;= Inputs!$B$1, TRUE, FALSE)</f>
        <v>0</v>
      </c>
    </row>
    <row r="908" spans="1:10" x14ac:dyDescent="0.3">
      <c r="A908" s="15">
        <v>45992</v>
      </c>
      <c r="B908" s="17" t="s">
        <v>65</v>
      </c>
      <c r="C908" s="3" t="s">
        <v>2</v>
      </c>
      <c r="D908" s="3" t="str">
        <f>VLOOKUP(C908, Ref_Department!$A$2:$D$6, 2, FALSE)</f>
        <v>Lending</v>
      </c>
      <c r="E908" s="3" t="s">
        <v>10</v>
      </c>
      <c r="F908" s="3" t="str">
        <f>VLOOKUP(E908, Ref_GLAccount!$A$2:$D$9, 2, FALSE)</f>
        <v>Professional Services</v>
      </c>
      <c r="G908" s="3" t="str">
        <f>VLOOKUP(E908, Ref_GLAccount!$A$2:$D$9, 3, FALSE)</f>
        <v>Professional Services</v>
      </c>
      <c r="H908" s="6" t="s">
        <v>66</v>
      </c>
      <c r="I908" s="7">
        <v>8360.85</v>
      </c>
      <c r="J908" s="18" t="b">
        <f>IF(tblFactFinance[[#This Row],[MonthStart]] &lt;= Inputs!$B$1, TRUE, FALSE)</f>
        <v>0</v>
      </c>
    </row>
    <row r="909" spans="1:10" x14ac:dyDescent="0.3">
      <c r="A909" s="15">
        <v>45992</v>
      </c>
      <c r="B909" s="17" t="s">
        <v>65</v>
      </c>
      <c r="C909" s="3" t="s">
        <v>2</v>
      </c>
      <c r="D909" s="3" t="str">
        <f>VLOOKUP(C909, Ref_Department!$A$2:$D$6, 2, FALSE)</f>
        <v>Lending</v>
      </c>
      <c r="E909" s="3" t="s">
        <v>10</v>
      </c>
      <c r="F909" s="3" t="str">
        <f>VLOOKUP(E909, Ref_GLAccount!$A$2:$D$9, 2, FALSE)</f>
        <v>Professional Services</v>
      </c>
      <c r="G909" s="3" t="str">
        <f>VLOOKUP(E909, Ref_GLAccount!$A$2:$D$9, 3, FALSE)</f>
        <v>Professional Services</v>
      </c>
      <c r="H909" s="6" t="s">
        <v>70</v>
      </c>
      <c r="I909" s="7">
        <v>8320</v>
      </c>
      <c r="J909" s="18" t="b">
        <f>IF(tblFactFinance[[#This Row],[MonthStart]] &lt;= Inputs!$B$1, TRUE, FALSE)</f>
        <v>0</v>
      </c>
    </row>
    <row r="910" spans="1:10" x14ac:dyDescent="0.3">
      <c r="A910" s="15">
        <v>45992</v>
      </c>
      <c r="B910" s="17" t="s">
        <v>65</v>
      </c>
      <c r="C910" s="3" t="s">
        <v>2</v>
      </c>
      <c r="D910" s="3" t="str">
        <f>VLOOKUP(C910, Ref_Department!$A$2:$D$6, 2, FALSE)</f>
        <v>Lending</v>
      </c>
      <c r="E910" s="3" t="s">
        <v>11</v>
      </c>
      <c r="F910" s="3" t="str">
        <f>VLOOKUP(E910, Ref_GLAccount!$A$2:$D$9, 2, FALSE)</f>
        <v>Office Supplies</v>
      </c>
      <c r="G910" s="3" t="str">
        <f>VLOOKUP(E910, Ref_GLAccount!$A$2:$D$9, 3, FALSE)</f>
        <v>Other OPEX</v>
      </c>
      <c r="H910" s="6" t="s">
        <v>66</v>
      </c>
      <c r="I910" s="7">
        <v>936.93</v>
      </c>
      <c r="J910" s="18" t="b">
        <f>IF(tblFactFinance[[#This Row],[MonthStart]] &lt;= Inputs!$B$1, TRUE, FALSE)</f>
        <v>0</v>
      </c>
    </row>
    <row r="911" spans="1:10" x14ac:dyDescent="0.3">
      <c r="A911" s="15">
        <v>45992</v>
      </c>
      <c r="B911" s="17" t="s">
        <v>65</v>
      </c>
      <c r="C911" s="3" t="s">
        <v>2</v>
      </c>
      <c r="D911" s="3" t="str">
        <f>VLOOKUP(C911, Ref_Department!$A$2:$D$6, 2, FALSE)</f>
        <v>Lending</v>
      </c>
      <c r="E911" s="3" t="s">
        <v>11</v>
      </c>
      <c r="F911" s="3" t="str">
        <f>VLOOKUP(E911, Ref_GLAccount!$A$2:$D$9, 2, FALSE)</f>
        <v>Office Supplies</v>
      </c>
      <c r="G911" s="3" t="str">
        <f>VLOOKUP(E911, Ref_GLAccount!$A$2:$D$9, 3, FALSE)</f>
        <v>Other OPEX</v>
      </c>
      <c r="H911" s="6" t="s">
        <v>70</v>
      </c>
      <c r="I911" s="7">
        <v>936</v>
      </c>
      <c r="J911" s="18" t="b">
        <f>IF(tblFactFinance[[#This Row],[MonthStart]] &lt;= Inputs!$B$1, TRUE, FALSE)</f>
        <v>0</v>
      </c>
    </row>
    <row r="912" spans="1:10" x14ac:dyDescent="0.3">
      <c r="A912" s="15">
        <v>45992</v>
      </c>
      <c r="B912" s="17" t="s">
        <v>65</v>
      </c>
      <c r="C912" s="3" t="s">
        <v>2</v>
      </c>
      <c r="D912" s="3" t="str">
        <f>VLOOKUP(C912, Ref_Department!$A$2:$D$6, 2, FALSE)</f>
        <v>Lending</v>
      </c>
      <c r="E912" s="3" t="s">
        <v>12</v>
      </c>
      <c r="F912" s="3" t="str">
        <f>VLOOKUP(E912, Ref_GLAccount!$A$2:$D$9, 2, FALSE)</f>
        <v>Training &amp; Development</v>
      </c>
      <c r="G912" s="3" t="str">
        <f>VLOOKUP(E912, Ref_GLAccount!$A$2:$D$9, 3, FALSE)</f>
        <v>Other OPEX</v>
      </c>
      <c r="H912" s="6" t="s">
        <v>66</v>
      </c>
      <c r="I912" s="7">
        <v>1538.97</v>
      </c>
      <c r="J912" s="18" t="b">
        <f>IF(tblFactFinance[[#This Row],[MonthStart]] &lt;= Inputs!$B$1, TRUE, FALSE)</f>
        <v>0</v>
      </c>
    </row>
    <row r="913" spans="1:10" x14ac:dyDescent="0.3">
      <c r="A913" s="15">
        <v>45992</v>
      </c>
      <c r="B913" s="17" t="s">
        <v>65</v>
      </c>
      <c r="C913" s="3" t="s">
        <v>2</v>
      </c>
      <c r="D913" s="3" t="str">
        <f>VLOOKUP(C913, Ref_Department!$A$2:$D$6, 2, FALSE)</f>
        <v>Lending</v>
      </c>
      <c r="E913" s="3" t="s">
        <v>12</v>
      </c>
      <c r="F913" s="3" t="str">
        <f>VLOOKUP(E913, Ref_GLAccount!$A$2:$D$9, 2, FALSE)</f>
        <v>Training &amp; Development</v>
      </c>
      <c r="G913" s="3" t="str">
        <f>VLOOKUP(E913, Ref_GLAccount!$A$2:$D$9, 3, FALSE)</f>
        <v>Other OPEX</v>
      </c>
      <c r="H913" s="6" t="s">
        <v>70</v>
      </c>
      <c r="I913" s="7">
        <v>1456</v>
      </c>
      <c r="J913" s="18" t="b">
        <f>IF(tblFactFinance[[#This Row],[MonthStart]] &lt;= Inputs!$B$1, TRUE, FALSE)</f>
        <v>0</v>
      </c>
    </row>
    <row r="914" spans="1:10" x14ac:dyDescent="0.3">
      <c r="A914" s="15">
        <v>45992</v>
      </c>
      <c r="B914" s="17" t="s">
        <v>65</v>
      </c>
      <c r="C914" s="3" t="s">
        <v>3</v>
      </c>
      <c r="D914" s="3" t="str">
        <f>VLOOKUP(C914, Ref_Department!$A$2:$D$6, 2, FALSE)</f>
        <v>Information Technology</v>
      </c>
      <c r="E914" s="3" t="s">
        <v>33</v>
      </c>
      <c r="F914" s="3" t="str">
        <f>VLOOKUP(E914, Ref_GLAccount!$A$2:$D$9, 2, FALSE)</f>
        <v>Salaries</v>
      </c>
      <c r="G914" s="3" t="str">
        <f>VLOOKUP(E914, Ref_GLAccount!$A$2:$D$9, 3, FALSE)</f>
        <v>Personnel</v>
      </c>
      <c r="H914" s="6" t="s">
        <v>66</v>
      </c>
      <c r="I914" s="7">
        <v>152139.23000000001</v>
      </c>
      <c r="J914" s="18" t="b">
        <f>IF(tblFactFinance[[#This Row],[MonthStart]] &lt;= Inputs!$B$1, TRUE, FALSE)</f>
        <v>0</v>
      </c>
    </row>
    <row r="915" spans="1:10" x14ac:dyDescent="0.3">
      <c r="A915" s="15">
        <v>45992</v>
      </c>
      <c r="B915" s="17" t="s">
        <v>65</v>
      </c>
      <c r="C915" s="3" t="s">
        <v>3</v>
      </c>
      <c r="D915" s="3" t="str">
        <f>VLOOKUP(C915, Ref_Department!$A$2:$D$6, 2, FALSE)</f>
        <v>Information Technology</v>
      </c>
      <c r="E915" s="3" t="s">
        <v>33</v>
      </c>
      <c r="F915" s="3" t="str">
        <f>VLOOKUP(E915, Ref_GLAccount!$A$2:$D$9, 2, FALSE)</f>
        <v>Salaries</v>
      </c>
      <c r="G915" s="3" t="str">
        <f>VLOOKUP(E915, Ref_GLAccount!$A$2:$D$9, 3, FALSE)</f>
        <v>Personnel</v>
      </c>
      <c r="H915" s="6" t="s">
        <v>70</v>
      </c>
      <c r="I915" s="7">
        <v>151410</v>
      </c>
      <c r="J915" s="18" t="b">
        <f>IF(tblFactFinance[[#This Row],[MonthStart]] &lt;= Inputs!$B$1, TRUE, FALSE)</f>
        <v>0</v>
      </c>
    </row>
    <row r="916" spans="1:10" x14ac:dyDescent="0.3">
      <c r="A916" s="15">
        <v>45992</v>
      </c>
      <c r="B916" s="17" t="s">
        <v>65</v>
      </c>
      <c r="C916" s="3" t="s">
        <v>3</v>
      </c>
      <c r="D916" s="3" t="str">
        <f>VLOOKUP(C916, Ref_Department!$A$2:$D$6, 2, FALSE)</f>
        <v>Information Technology</v>
      </c>
      <c r="E916" s="3" t="s">
        <v>37</v>
      </c>
      <c r="F916" s="3" t="str">
        <f>VLOOKUP(E916, Ref_GLAccount!$A$2:$D$9, 2, FALSE)</f>
        <v>Benefits</v>
      </c>
      <c r="G916" s="3" t="str">
        <f>VLOOKUP(E916, Ref_GLAccount!$A$2:$D$9, 3, FALSE)</f>
        <v>Personnel</v>
      </c>
      <c r="H916" s="6" t="s">
        <v>66</v>
      </c>
      <c r="I916" s="7">
        <v>31700.87</v>
      </c>
      <c r="J916" s="18" t="b">
        <f>IF(tblFactFinance[[#This Row],[MonthStart]] &lt;= Inputs!$B$1, TRUE, FALSE)</f>
        <v>0</v>
      </c>
    </row>
    <row r="917" spans="1:10" x14ac:dyDescent="0.3">
      <c r="A917" s="15">
        <v>45992</v>
      </c>
      <c r="B917" s="17" t="s">
        <v>65</v>
      </c>
      <c r="C917" s="3" t="s">
        <v>3</v>
      </c>
      <c r="D917" s="3" t="str">
        <f>VLOOKUP(C917, Ref_Department!$A$2:$D$6, 2, FALSE)</f>
        <v>Information Technology</v>
      </c>
      <c r="E917" s="3" t="s">
        <v>37</v>
      </c>
      <c r="F917" s="3" t="str">
        <f>VLOOKUP(E917, Ref_GLAccount!$A$2:$D$9, 2, FALSE)</f>
        <v>Benefits</v>
      </c>
      <c r="G917" s="3" t="str">
        <f>VLOOKUP(E917, Ref_GLAccount!$A$2:$D$9, 3, FALSE)</f>
        <v>Personnel</v>
      </c>
      <c r="H917" s="6" t="s">
        <v>70</v>
      </c>
      <c r="I917" s="7">
        <v>33310.199999999997</v>
      </c>
      <c r="J917" s="18" t="b">
        <f>IF(tblFactFinance[[#This Row],[MonthStart]] &lt;= Inputs!$B$1, TRUE, FALSE)</f>
        <v>0</v>
      </c>
    </row>
    <row r="918" spans="1:10" x14ac:dyDescent="0.3">
      <c r="A918" s="15">
        <v>45992</v>
      </c>
      <c r="B918" s="17" t="s">
        <v>65</v>
      </c>
      <c r="C918" s="3" t="s">
        <v>3</v>
      </c>
      <c r="D918" s="3" t="str">
        <f>VLOOKUP(C918, Ref_Department!$A$2:$D$6, 2, FALSE)</f>
        <v>Information Technology</v>
      </c>
      <c r="E918" s="3" t="s">
        <v>7</v>
      </c>
      <c r="F918" s="3" t="str">
        <f>VLOOKUP(E918, Ref_GLAccount!$A$2:$D$9, 2, FALSE)</f>
        <v>Occupancy &amp; Facilities</v>
      </c>
      <c r="G918" s="3" t="str">
        <f>VLOOKUP(E918, Ref_GLAccount!$A$2:$D$9, 3, FALSE)</f>
        <v>Facilities</v>
      </c>
      <c r="H918" s="6" t="s">
        <v>66</v>
      </c>
      <c r="I918" s="7">
        <v>9326.18</v>
      </c>
      <c r="J918" s="18" t="b">
        <f>IF(tblFactFinance[[#This Row],[MonthStart]] &lt;= Inputs!$B$1, TRUE, FALSE)</f>
        <v>0</v>
      </c>
    </row>
    <row r="919" spans="1:10" x14ac:dyDescent="0.3">
      <c r="A919" s="15">
        <v>45992</v>
      </c>
      <c r="B919" s="17" t="s">
        <v>65</v>
      </c>
      <c r="C919" s="3" t="s">
        <v>3</v>
      </c>
      <c r="D919" s="3" t="str">
        <f>VLOOKUP(C919, Ref_Department!$A$2:$D$6, 2, FALSE)</f>
        <v>Information Technology</v>
      </c>
      <c r="E919" s="3" t="s">
        <v>7</v>
      </c>
      <c r="F919" s="3" t="str">
        <f>VLOOKUP(E919, Ref_GLAccount!$A$2:$D$9, 2, FALSE)</f>
        <v>Occupancy &amp; Facilities</v>
      </c>
      <c r="G919" s="3" t="str">
        <f>VLOOKUP(E919, Ref_GLAccount!$A$2:$D$9, 3, FALSE)</f>
        <v>Facilities</v>
      </c>
      <c r="H919" s="6" t="s">
        <v>70</v>
      </c>
      <c r="I919" s="7">
        <v>9000</v>
      </c>
      <c r="J919" s="18" t="b">
        <f>IF(tblFactFinance[[#This Row],[MonthStart]] &lt;= Inputs!$B$1, TRUE, FALSE)</f>
        <v>0</v>
      </c>
    </row>
    <row r="920" spans="1:10" x14ac:dyDescent="0.3">
      <c r="A920" s="15">
        <v>45992</v>
      </c>
      <c r="B920" s="17" t="s">
        <v>65</v>
      </c>
      <c r="C920" s="3" t="s">
        <v>3</v>
      </c>
      <c r="D920" s="3" t="str">
        <f>VLOOKUP(C920, Ref_Department!$A$2:$D$6, 2, FALSE)</f>
        <v>Information Technology</v>
      </c>
      <c r="E920" s="3" t="s">
        <v>8</v>
      </c>
      <c r="F920" s="3" t="str">
        <f>VLOOKUP(E920, Ref_GLAccount!$A$2:$D$9, 2, FALSE)</f>
        <v>IT Software &amp; Subscriptions</v>
      </c>
      <c r="G920" s="3" t="str">
        <f>VLOOKUP(E920, Ref_GLAccount!$A$2:$D$9, 3, FALSE)</f>
        <v>IT</v>
      </c>
      <c r="H920" s="6" t="s">
        <v>66</v>
      </c>
      <c r="I920" s="7">
        <v>42679.23</v>
      </c>
      <c r="J920" s="18" t="b">
        <f>IF(tblFactFinance[[#This Row],[MonthStart]] &lt;= Inputs!$B$1, TRUE, FALSE)</f>
        <v>0</v>
      </c>
    </row>
    <row r="921" spans="1:10" x14ac:dyDescent="0.3">
      <c r="A921" s="15">
        <v>45992</v>
      </c>
      <c r="B921" s="17" t="s">
        <v>65</v>
      </c>
      <c r="C921" s="3" t="s">
        <v>3</v>
      </c>
      <c r="D921" s="3" t="str">
        <f>VLOOKUP(C921, Ref_Department!$A$2:$D$6, 2, FALSE)</f>
        <v>Information Technology</v>
      </c>
      <c r="E921" s="3" t="s">
        <v>8</v>
      </c>
      <c r="F921" s="3" t="str">
        <f>VLOOKUP(E921, Ref_GLAccount!$A$2:$D$9, 2, FALSE)</f>
        <v>IT Software &amp; Subscriptions</v>
      </c>
      <c r="G921" s="3" t="str">
        <f>VLOOKUP(E921, Ref_GLAccount!$A$2:$D$9, 3, FALSE)</f>
        <v>IT</v>
      </c>
      <c r="H921" s="6" t="s">
        <v>70</v>
      </c>
      <c r="I921" s="7">
        <v>43680</v>
      </c>
      <c r="J921" s="18" t="b">
        <f>IF(tblFactFinance[[#This Row],[MonthStart]] &lt;= Inputs!$B$1, TRUE, FALSE)</f>
        <v>0</v>
      </c>
    </row>
    <row r="922" spans="1:10" x14ac:dyDescent="0.3">
      <c r="A922" s="15">
        <v>45992</v>
      </c>
      <c r="B922" s="17" t="s">
        <v>65</v>
      </c>
      <c r="C922" s="3" t="s">
        <v>3</v>
      </c>
      <c r="D922" s="3" t="str">
        <f>VLOOKUP(C922, Ref_Department!$A$2:$D$6, 2, FALSE)</f>
        <v>Information Technology</v>
      </c>
      <c r="E922" s="3" t="s">
        <v>9</v>
      </c>
      <c r="F922" s="3" t="str">
        <f>VLOOKUP(E922, Ref_GLAccount!$A$2:$D$9, 2, FALSE)</f>
        <v>Marketing &amp; Advertising</v>
      </c>
      <c r="G922" s="3" t="str">
        <f>VLOOKUP(E922, Ref_GLAccount!$A$2:$D$9, 3, FALSE)</f>
        <v>Marketing</v>
      </c>
      <c r="H922" s="6" t="s">
        <v>66</v>
      </c>
      <c r="I922" s="7">
        <v>1926.29</v>
      </c>
      <c r="J922" s="18" t="b">
        <f>IF(tblFactFinance[[#This Row],[MonthStart]] &lt;= Inputs!$B$1, TRUE, FALSE)</f>
        <v>0</v>
      </c>
    </row>
    <row r="923" spans="1:10" x14ac:dyDescent="0.3">
      <c r="A923" s="15">
        <v>45992</v>
      </c>
      <c r="B923" s="17" t="s">
        <v>65</v>
      </c>
      <c r="C923" s="3" t="s">
        <v>3</v>
      </c>
      <c r="D923" s="3" t="str">
        <f>VLOOKUP(C923, Ref_Department!$A$2:$D$6, 2, FALSE)</f>
        <v>Information Technology</v>
      </c>
      <c r="E923" s="3" t="s">
        <v>9</v>
      </c>
      <c r="F923" s="3" t="str">
        <f>VLOOKUP(E923, Ref_GLAccount!$A$2:$D$9, 2, FALSE)</f>
        <v>Marketing &amp; Advertising</v>
      </c>
      <c r="G923" s="3" t="str">
        <f>VLOOKUP(E923, Ref_GLAccount!$A$2:$D$9, 3, FALSE)</f>
        <v>Marketing</v>
      </c>
      <c r="H923" s="6" t="s">
        <v>70</v>
      </c>
      <c r="I923" s="7">
        <v>1872</v>
      </c>
      <c r="J923" s="18" t="b">
        <f>IF(tblFactFinance[[#This Row],[MonthStart]] &lt;= Inputs!$B$1, TRUE, FALSE)</f>
        <v>0</v>
      </c>
    </row>
    <row r="924" spans="1:10" x14ac:dyDescent="0.3">
      <c r="A924" s="15">
        <v>45992</v>
      </c>
      <c r="B924" s="17" t="s">
        <v>65</v>
      </c>
      <c r="C924" s="3" t="s">
        <v>3</v>
      </c>
      <c r="D924" s="3" t="str">
        <f>VLOOKUP(C924, Ref_Department!$A$2:$D$6, 2, FALSE)</f>
        <v>Information Technology</v>
      </c>
      <c r="E924" s="3" t="s">
        <v>10</v>
      </c>
      <c r="F924" s="3" t="str">
        <f>VLOOKUP(E924, Ref_GLAccount!$A$2:$D$9, 2, FALSE)</f>
        <v>Professional Services</v>
      </c>
      <c r="G924" s="3" t="str">
        <f>VLOOKUP(E924, Ref_GLAccount!$A$2:$D$9, 3, FALSE)</f>
        <v>Professional Services</v>
      </c>
      <c r="H924" s="6" t="s">
        <v>66</v>
      </c>
      <c r="I924" s="7">
        <v>12671.59</v>
      </c>
      <c r="J924" s="18" t="b">
        <f>IF(tblFactFinance[[#This Row],[MonthStart]] &lt;= Inputs!$B$1, TRUE, FALSE)</f>
        <v>0</v>
      </c>
    </row>
    <row r="925" spans="1:10" x14ac:dyDescent="0.3">
      <c r="A925" s="15">
        <v>45992</v>
      </c>
      <c r="B925" s="17" t="s">
        <v>65</v>
      </c>
      <c r="C925" s="3" t="s">
        <v>3</v>
      </c>
      <c r="D925" s="3" t="str">
        <f>VLOOKUP(C925, Ref_Department!$A$2:$D$6, 2, FALSE)</f>
        <v>Information Technology</v>
      </c>
      <c r="E925" s="3" t="s">
        <v>10</v>
      </c>
      <c r="F925" s="3" t="str">
        <f>VLOOKUP(E925, Ref_GLAccount!$A$2:$D$9, 2, FALSE)</f>
        <v>Professional Services</v>
      </c>
      <c r="G925" s="3" t="str">
        <f>VLOOKUP(E925, Ref_GLAccount!$A$2:$D$9, 3, FALSE)</f>
        <v>Professional Services</v>
      </c>
      <c r="H925" s="6" t="s">
        <v>70</v>
      </c>
      <c r="I925" s="7">
        <v>12480</v>
      </c>
      <c r="J925" s="18" t="b">
        <f>IF(tblFactFinance[[#This Row],[MonthStart]] &lt;= Inputs!$B$1, TRUE, FALSE)</f>
        <v>0</v>
      </c>
    </row>
    <row r="926" spans="1:10" x14ac:dyDescent="0.3">
      <c r="A926" s="15">
        <v>45992</v>
      </c>
      <c r="B926" s="17" t="s">
        <v>65</v>
      </c>
      <c r="C926" s="3" t="s">
        <v>3</v>
      </c>
      <c r="D926" s="3" t="str">
        <f>VLOOKUP(C926, Ref_Department!$A$2:$D$6, 2, FALSE)</f>
        <v>Information Technology</v>
      </c>
      <c r="E926" s="3" t="s">
        <v>11</v>
      </c>
      <c r="F926" s="3" t="str">
        <f>VLOOKUP(E926, Ref_GLAccount!$A$2:$D$9, 2, FALSE)</f>
        <v>Office Supplies</v>
      </c>
      <c r="G926" s="3" t="str">
        <f>VLOOKUP(E926, Ref_GLAccount!$A$2:$D$9, 3, FALSE)</f>
        <v>Other OPEX</v>
      </c>
      <c r="H926" s="6" t="s">
        <v>66</v>
      </c>
      <c r="I926" s="7">
        <v>828.03</v>
      </c>
      <c r="J926" s="18" t="b">
        <f>IF(tblFactFinance[[#This Row],[MonthStart]] &lt;= Inputs!$B$1, TRUE, FALSE)</f>
        <v>0</v>
      </c>
    </row>
    <row r="927" spans="1:10" x14ac:dyDescent="0.3">
      <c r="A927" s="15">
        <v>45992</v>
      </c>
      <c r="B927" s="17" t="s">
        <v>65</v>
      </c>
      <c r="C927" s="3" t="s">
        <v>3</v>
      </c>
      <c r="D927" s="3" t="str">
        <f>VLOOKUP(C927, Ref_Department!$A$2:$D$6, 2, FALSE)</f>
        <v>Information Technology</v>
      </c>
      <c r="E927" s="3" t="s">
        <v>11</v>
      </c>
      <c r="F927" s="3" t="str">
        <f>VLOOKUP(E927, Ref_GLAccount!$A$2:$D$9, 2, FALSE)</f>
        <v>Office Supplies</v>
      </c>
      <c r="G927" s="3" t="str">
        <f>VLOOKUP(E927, Ref_GLAccount!$A$2:$D$9, 3, FALSE)</f>
        <v>Other OPEX</v>
      </c>
      <c r="H927" s="6" t="s">
        <v>70</v>
      </c>
      <c r="I927" s="7">
        <v>832</v>
      </c>
      <c r="J927" s="18" t="b">
        <f>IF(tblFactFinance[[#This Row],[MonthStart]] &lt;= Inputs!$B$1, TRUE, FALSE)</f>
        <v>0</v>
      </c>
    </row>
    <row r="928" spans="1:10" x14ac:dyDescent="0.3">
      <c r="A928" s="15">
        <v>45992</v>
      </c>
      <c r="B928" s="17" t="s">
        <v>65</v>
      </c>
      <c r="C928" s="3" t="s">
        <v>3</v>
      </c>
      <c r="D928" s="3" t="str">
        <f>VLOOKUP(C928, Ref_Department!$A$2:$D$6, 2, FALSE)</f>
        <v>Information Technology</v>
      </c>
      <c r="E928" s="3" t="s">
        <v>12</v>
      </c>
      <c r="F928" s="3" t="str">
        <f>VLOOKUP(E928, Ref_GLAccount!$A$2:$D$9, 2, FALSE)</f>
        <v>Training &amp; Development</v>
      </c>
      <c r="G928" s="3" t="str">
        <f>VLOOKUP(E928, Ref_GLAccount!$A$2:$D$9, 3, FALSE)</f>
        <v>Other OPEX</v>
      </c>
      <c r="H928" s="6" t="s">
        <v>66</v>
      </c>
      <c r="I928" s="7">
        <v>1937.12</v>
      </c>
      <c r="J928" s="18" t="b">
        <f>IF(tblFactFinance[[#This Row],[MonthStart]] &lt;= Inputs!$B$1, TRUE, FALSE)</f>
        <v>0</v>
      </c>
    </row>
    <row r="929" spans="1:10" x14ac:dyDescent="0.3">
      <c r="A929" s="15">
        <v>45992</v>
      </c>
      <c r="B929" s="17" t="s">
        <v>65</v>
      </c>
      <c r="C929" s="3" t="s">
        <v>3</v>
      </c>
      <c r="D929" s="3" t="str">
        <f>VLOOKUP(C929, Ref_Department!$A$2:$D$6, 2, FALSE)</f>
        <v>Information Technology</v>
      </c>
      <c r="E929" s="3" t="s">
        <v>12</v>
      </c>
      <c r="F929" s="3" t="str">
        <f>VLOOKUP(E929, Ref_GLAccount!$A$2:$D$9, 2, FALSE)</f>
        <v>Training &amp; Development</v>
      </c>
      <c r="G929" s="3" t="str">
        <f>VLOOKUP(E929, Ref_GLAccount!$A$2:$D$9, 3, FALSE)</f>
        <v>Other OPEX</v>
      </c>
      <c r="H929" s="6" t="s">
        <v>70</v>
      </c>
      <c r="I929" s="7">
        <v>1872</v>
      </c>
      <c r="J929" s="18" t="b">
        <f>IF(tblFactFinance[[#This Row],[MonthStart]] &lt;= Inputs!$B$1, TRUE, FALSE)</f>
        <v>0</v>
      </c>
    </row>
    <row r="930" spans="1:10" x14ac:dyDescent="0.3">
      <c r="A930" s="15">
        <v>45992</v>
      </c>
      <c r="B930" s="17" t="s">
        <v>65</v>
      </c>
      <c r="C930" s="3" t="s">
        <v>4</v>
      </c>
      <c r="D930" s="3" t="str">
        <f>VLOOKUP(C930, Ref_Department!$A$2:$D$6, 2, FALSE)</f>
        <v>Marketing</v>
      </c>
      <c r="E930" s="3" t="s">
        <v>33</v>
      </c>
      <c r="F930" s="3" t="str">
        <f>VLOOKUP(E930, Ref_GLAccount!$A$2:$D$9, 2, FALSE)</f>
        <v>Salaries</v>
      </c>
      <c r="G930" s="3" t="str">
        <f>VLOOKUP(E930, Ref_GLAccount!$A$2:$D$9, 3, FALSE)</f>
        <v>Personnel</v>
      </c>
      <c r="H930" s="6" t="s">
        <v>66</v>
      </c>
      <c r="I930" s="7">
        <v>63014.12</v>
      </c>
      <c r="J930" s="18" t="b">
        <f>IF(tblFactFinance[[#This Row],[MonthStart]] &lt;= Inputs!$B$1, TRUE, FALSE)</f>
        <v>0</v>
      </c>
    </row>
    <row r="931" spans="1:10" x14ac:dyDescent="0.3">
      <c r="A931" s="15">
        <v>45992</v>
      </c>
      <c r="B931" s="17" t="s">
        <v>65</v>
      </c>
      <c r="C931" s="3" t="s">
        <v>4</v>
      </c>
      <c r="D931" s="3" t="str">
        <f>VLOOKUP(C931, Ref_Department!$A$2:$D$6, 2, FALSE)</f>
        <v>Marketing</v>
      </c>
      <c r="E931" s="3" t="s">
        <v>33</v>
      </c>
      <c r="F931" s="3" t="str">
        <f>VLOOKUP(E931, Ref_GLAccount!$A$2:$D$9, 2, FALSE)</f>
        <v>Salaries</v>
      </c>
      <c r="G931" s="3" t="str">
        <f>VLOOKUP(E931, Ref_GLAccount!$A$2:$D$9, 3, FALSE)</f>
        <v>Personnel</v>
      </c>
      <c r="H931" s="6" t="s">
        <v>70</v>
      </c>
      <c r="I931" s="7">
        <v>64375</v>
      </c>
      <c r="J931" s="18" t="b">
        <f>IF(tblFactFinance[[#This Row],[MonthStart]] &lt;= Inputs!$B$1, TRUE, FALSE)</f>
        <v>0</v>
      </c>
    </row>
    <row r="932" spans="1:10" x14ac:dyDescent="0.3">
      <c r="A932" s="15">
        <v>45992</v>
      </c>
      <c r="B932" s="17" t="s">
        <v>65</v>
      </c>
      <c r="C932" s="3" t="s">
        <v>4</v>
      </c>
      <c r="D932" s="3" t="str">
        <f>VLOOKUP(C932, Ref_Department!$A$2:$D$6, 2, FALSE)</f>
        <v>Marketing</v>
      </c>
      <c r="E932" s="3" t="s">
        <v>37</v>
      </c>
      <c r="F932" s="3" t="str">
        <f>VLOOKUP(E932, Ref_GLAccount!$A$2:$D$9, 2, FALSE)</f>
        <v>Benefits</v>
      </c>
      <c r="G932" s="3" t="str">
        <f>VLOOKUP(E932, Ref_GLAccount!$A$2:$D$9, 3, FALSE)</f>
        <v>Personnel</v>
      </c>
      <c r="H932" s="6" t="s">
        <v>66</v>
      </c>
      <c r="I932" s="7">
        <v>14085.32</v>
      </c>
      <c r="J932" s="18" t="b">
        <f>IF(tblFactFinance[[#This Row],[MonthStart]] &lt;= Inputs!$B$1, TRUE, FALSE)</f>
        <v>0</v>
      </c>
    </row>
    <row r="933" spans="1:10" x14ac:dyDescent="0.3">
      <c r="A933" s="15">
        <v>45992</v>
      </c>
      <c r="B933" s="17" t="s">
        <v>65</v>
      </c>
      <c r="C933" s="3" t="s">
        <v>4</v>
      </c>
      <c r="D933" s="3" t="str">
        <f>VLOOKUP(C933, Ref_Department!$A$2:$D$6, 2, FALSE)</f>
        <v>Marketing</v>
      </c>
      <c r="E933" s="3" t="s">
        <v>37</v>
      </c>
      <c r="F933" s="3" t="str">
        <f>VLOOKUP(E933, Ref_GLAccount!$A$2:$D$9, 2, FALSE)</f>
        <v>Benefits</v>
      </c>
      <c r="G933" s="3" t="str">
        <f>VLOOKUP(E933, Ref_GLAccount!$A$2:$D$9, 3, FALSE)</f>
        <v>Personnel</v>
      </c>
      <c r="H933" s="6" t="s">
        <v>70</v>
      </c>
      <c r="I933" s="7">
        <v>14162.5</v>
      </c>
      <c r="J933" s="18" t="b">
        <f>IF(tblFactFinance[[#This Row],[MonthStart]] &lt;= Inputs!$B$1, TRUE, FALSE)</f>
        <v>0</v>
      </c>
    </row>
    <row r="934" spans="1:10" x14ac:dyDescent="0.3">
      <c r="A934" s="15">
        <v>45992</v>
      </c>
      <c r="B934" s="17" t="s">
        <v>65</v>
      </c>
      <c r="C934" s="3" t="s">
        <v>4</v>
      </c>
      <c r="D934" s="3" t="str">
        <f>VLOOKUP(C934, Ref_Department!$A$2:$D$6, 2, FALSE)</f>
        <v>Marketing</v>
      </c>
      <c r="E934" s="3" t="s">
        <v>7</v>
      </c>
      <c r="F934" s="3" t="str">
        <f>VLOOKUP(E934, Ref_GLAccount!$A$2:$D$9, 2, FALSE)</f>
        <v>Occupancy &amp; Facilities</v>
      </c>
      <c r="G934" s="3" t="str">
        <f>VLOOKUP(E934, Ref_GLAccount!$A$2:$D$9, 3, FALSE)</f>
        <v>Facilities</v>
      </c>
      <c r="H934" s="6" t="s">
        <v>66</v>
      </c>
      <c r="I934" s="7">
        <v>6405.99</v>
      </c>
      <c r="J934" s="18" t="b">
        <f>IF(tblFactFinance[[#This Row],[MonthStart]] &lt;= Inputs!$B$1, TRUE, FALSE)</f>
        <v>0</v>
      </c>
    </row>
    <row r="935" spans="1:10" x14ac:dyDescent="0.3">
      <c r="A935" s="15">
        <v>45992</v>
      </c>
      <c r="B935" s="17" t="s">
        <v>65</v>
      </c>
      <c r="C935" s="3" t="s">
        <v>4</v>
      </c>
      <c r="D935" s="3" t="str">
        <f>VLOOKUP(C935, Ref_Department!$A$2:$D$6, 2, FALSE)</f>
        <v>Marketing</v>
      </c>
      <c r="E935" s="3" t="s">
        <v>7</v>
      </c>
      <c r="F935" s="3" t="str">
        <f>VLOOKUP(E935, Ref_GLAccount!$A$2:$D$9, 2, FALSE)</f>
        <v>Occupancy &amp; Facilities</v>
      </c>
      <c r="G935" s="3" t="str">
        <f>VLOOKUP(E935, Ref_GLAccount!$A$2:$D$9, 3, FALSE)</f>
        <v>Facilities</v>
      </c>
      <c r="H935" s="6" t="s">
        <v>70</v>
      </c>
      <c r="I935" s="7">
        <v>6000</v>
      </c>
      <c r="J935" s="18" t="b">
        <f>IF(tblFactFinance[[#This Row],[MonthStart]] &lt;= Inputs!$B$1, TRUE, FALSE)</f>
        <v>0</v>
      </c>
    </row>
    <row r="936" spans="1:10" x14ac:dyDescent="0.3">
      <c r="A936" s="15">
        <v>45992</v>
      </c>
      <c r="B936" s="17" t="s">
        <v>65</v>
      </c>
      <c r="C936" s="3" t="s">
        <v>4</v>
      </c>
      <c r="D936" s="3" t="str">
        <f>VLOOKUP(C936, Ref_Department!$A$2:$D$6, 2, FALSE)</f>
        <v>Marketing</v>
      </c>
      <c r="E936" s="3" t="s">
        <v>8</v>
      </c>
      <c r="F936" s="3" t="str">
        <f>VLOOKUP(E936, Ref_GLAccount!$A$2:$D$9, 2, FALSE)</f>
        <v>IT Software &amp; Subscriptions</v>
      </c>
      <c r="G936" s="3" t="str">
        <f>VLOOKUP(E936, Ref_GLAccount!$A$2:$D$9, 3, FALSE)</f>
        <v>IT</v>
      </c>
      <c r="H936" s="6" t="s">
        <v>66</v>
      </c>
      <c r="I936" s="7">
        <v>7725.01</v>
      </c>
      <c r="J936" s="18" t="b">
        <f>IF(tblFactFinance[[#This Row],[MonthStart]] &lt;= Inputs!$B$1, TRUE, FALSE)</f>
        <v>0</v>
      </c>
    </row>
    <row r="937" spans="1:10" x14ac:dyDescent="0.3">
      <c r="A937" s="15">
        <v>45992</v>
      </c>
      <c r="B937" s="17" t="s">
        <v>65</v>
      </c>
      <c r="C937" s="3" t="s">
        <v>4</v>
      </c>
      <c r="D937" s="3" t="str">
        <f>VLOOKUP(C937, Ref_Department!$A$2:$D$6, 2, FALSE)</f>
        <v>Marketing</v>
      </c>
      <c r="E937" s="3" t="s">
        <v>8</v>
      </c>
      <c r="F937" s="3" t="str">
        <f>VLOOKUP(E937, Ref_GLAccount!$A$2:$D$9, 2, FALSE)</f>
        <v>IT Software &amp; Subscriptions</v>
      </c>
      <c r="G937" s="3" t="str">
        <f>VLOOKUP(E937, Ref_GLAccount!$A$2:$D$9, 3, FALSE)</f>
        <v>IT</v>
      </c>
      <c r="H937" s="6" t="s">
        <v>70</v>
      </c>
      <c r="I937" s="7">
        <v>7280</v>
      </c>
      <c r="J937" s="18" t="b">
        <f>IF(tblFactFinance[[#This Row],[MonthStart]] &lt;= Inputs!$B$1, TRUE, FALSE)</f>
        <v>0</v>
      </c>
    </row>
    <row r="938" spans="1:10" x14ac:dyDescent="0.3">
      <c r="A938" s="15">
        <v>45992</v>
      </c>
      <c r="B938" s="17" t="s">
        <v>65</v>
      </c>
      <c r="C938" s="3" t="s">
        <v>4</v>
      </c>
      <c r="D938" s="3" t="str">
        <f>VLOOKUP(C938, Ref_Department!$A$2:$D$6, 2, FALSE)</f>
        <v>Marketing</v>
      </c>
      <c r="E938" s="3" t="s">
        <v>9</v>
      </c>
      <c r="F938" s="3" t="str">
        <f>VLOOKUP(E938, Ref_GLAccount!$A$2:$D$9, 2, FALSE)</f>
        <v>Marketing &amp; Advertising</v>
      </c>
      <c r="G938" s="3" t="str">
        <f>VLOOKUP(E938, Ref_GLAccount!$A$2:$D$9, 3, FALSE)</f>
        <v>Marketing</v>
      </c>
      <c r="H938" s="6" t="s">
        <v>66</v>
      </c>
      <c r="I938" s="7">
        <v>34806.269999999997</v>
      </c>
      <c r="J938" s="18" t="b">
        <f>IF(tblFactFinance[[#This Row],[MonthStart]] &lt;= Inputs!$B$1, TRUE, FALSE)</f>
        <v>0</v>
      </c>
    </row>
    <row r="939" spans="1:10" x14ac:dyDescent="0.3">
      <c r="A939" s="15">
        <v>45992</v>
      </c>
      <c r="B939" s="17" t="s">
        <v>65</v>
      </c>
      <c r="C939" s="3" t="s">
        <v>4</v>
      </c>
      <c r="D939" s="3" t="str">
        <f>VLOOKUP(C939, Ref_Department!$A$2:$D$6, 2, FALSE)</f>
        <v>Marketing</v>
      </c>
      <c r="E939" s="3" t="s">
        <v>9</v>
      </c>
      <c r="F939" s="3" t="str">
        <f>VLOOKUP(E939, Ref_GLAccount!$A$2:$D$9, 2, FALSE)</f>
        <v>Marketing &amp; Advertising</v>
      </c>
      <c r="G939" s="3" t="str">
        <f>VLOOKUP(E939, Ref_GLAccount!$A$2:$D$9, 3, FALSE)</f>
        <v>Marketing</v>
      </c>
      <c r="H939" s="6" t="s">
        <v>70</v>
      </c>
      <c r="I939" s="7">
        <v>34944</v>
      </c>
      <c r="J939" s="18" t="b">
        <f>IF(tblFactFinance[[#This Row],[MonthStart]] &lt;= Inputs!$B$1, TRUE, FALSE)</f>
        <v>0</v>
      </c>
    </row>
    <row r="940" spans="1:10" x14ac:dyDescent="0.3">
      <c r="A940" s="15">
        <v>45992</v>
      </c>
      <c r="B940" s="17" t="s">
        <v>65</v>
      </c>
      <c r="C940" s="3" t="s">
        <v>4</v>
      </c>
      <c r="D940" s="3" t="str">
        <f>VLOOKUP(C940, Ref_Department!$A$2:$D$6, 2, FALSE)</f>
        <v>Marketing</v>
      </c>
      <c r="E940" s="3" t="s">
        <v>10</v>
      </c>
      <c r="F940" s="3" t="str">
        <f>VLOOKUP(E940, Ref_GLAccount!$A$2:$D$9, 2, FALSE)</f>
        <v>Professional Services</v>
      </c>
      <c r="G940" s="3" t="str">
        <f>VLOOKUP(E940, Ref_GLAccount!$A$2:$D$9, 3, FALSE)</f>
        <v>Professional Services</v>
      </c>
      <c r="H940" s="6" t="s">
        <v>66</v>
      </c>
      <c r="I940" s="7">
        <v>6152.44</v>
      </c>
      <c r="J940" s="18" t="b">
        <f>IF(tblFactFinance[[#This Row],[MonthStart]] &lt;= Inputs!$B$1, TRUE, FALSE)</f>
        <v>0</v>
      </c>
    </row>
    <row r="941" spans="1:10" x14ac:dyDescent="0.3">
      <c r="A941" s="15">
        <v>45992</v>
      </c>
      <c r="B941" s="17" t="s">
        <v>65</v>
      </c>
      <c r="C941" s="3" t="s">
        <v>4</v>
      </c>
      <c r="D941" s="3" t="str">
        <f>VLOOKUP(C941, Ref_Department!$A$2:$D$6, 2, FALSE)</f>
        <v>Marketing</v>
      </c>
      <c r="E941" s="3" t="s">
        <v>10</v>
      </c>
      <c r="F941" s="3" t="str">
        <f>VLOOKUP(E941, Ref_GLAccount!$A$2:$D$9, 2, FALSE)</f>
        <v>Professional Services</v>
      </c>
      <c r="G941" s="3" t="str">
        <f>VLOOKUP(E941, Ref_GLAccount!$A$2:$D$9, 3, FALSE)</f>
        <v>Professional Services</v>
      </c>
      <c r="H941" s="6" t="s">
        <v>70</v>
      </c>
      <c r="I941" s="7">
        <v>6240</v>
      </c>
      <c r="J941" s="18" t="b">
        <f>IF(tblFactFinance[[#This Row],[MonthStart]] &lt;= Inputs!$B$1, TRUE, FALSE)</f>
        <v>0</v>
      </c>
    </row>
    <row r="942" spans="1:10" x14ac:dyDescent="0.3">
      <c r="A942" s="15">
        <v>45992</v>
      </c>
      <c r="B942" s="17" t="s">
        <v>65</v>
      </c>
      <c r="C942" s="3" t="s">
        <v>4</v>
      </c>
      <c r="D942" s="3" t="str">
        <f>VLOOKUP(C942, Ref_Department!$A$2:$D$6, 2, FALSE)</f>
        <v>Marketing</v>
      </c>
      <c r="E942" s="3" t="s">
        <v>11</v>
      </c>
      <c r="F942" s="3" t="str">
        <f>VLOOKUP(E942, Ref_GLAccount!$A$2:$D$9, 2, FALSE)</f>
        <v>Office Supplies</v>
      </c>
      <c r="G942" s="3" t="str">
        <f>VLOOKUP(E942, Ref_GLAccount!$A$2:$D$9, 3, FALSE)</f>
        <v>Other OPEX</v>
      </c>
      <c r="H942" s="6" t="s">
        <v>66</v>
      </c>
      <c r="I942" s="7">
        <v>697.55</v>
      </c>
      <c r="J942" s="18" t="b">
        <f>IF(tblFactFinance[[#This Row],[MonthStart]] &lt;= Inputs!$B$1, TRUE, FALSE)</f>
        <v>0</v>
      </c>
    </row>
    <row r="943" spans="1:10" x14ac:dyDescent="0.3">
      <c r="A943" s="15">
        <v>45992</v>
      </c>
      <c r="B943" s="17" t="s">
        <v>65</v>
      </c>
      <c r="C943" s="3" t="s">
        <v>4</v>
      </c>
      <c r="D943" s="3" t="str">
        <f>VLOOKUP(C943, Ref_Department!$A$2:$D$6, 2, FALSE)</f>
        <v>Marketing</v>
      </c>
      <c r="E943" s="3" t="s">
        <v>11</v>
      </c>
      <c r="F943" s="3" t="str">
        <f>VLOOKUP(E943, Ref_GLAccount!$A$2:$D$9, 2, FALSE)</f>
        <v>Office Supplies</v>
      </c>
      <c r="G943" s="3" t="str">
        <f>VLOOKUP(E943, Ref_GLAccount!$A$2:$D$9, 3, FALSE)</f>
        <v>Other OPEX</v>
      </c>
      <c r="H943" s="6" t="s">
        <v>70</v>
      </c>
      <c r="I943" s="7">
        <v>728</v>
      </c>
      <c r="J943" s="18" t="b">
        <f>IF(tblFactFinance[[#This Row],[MonthStart]] &lt;= Inputs!$B$1, TRUE, FALSE)</f>
        <v>0</v>
      </c>
    </row>
    <row r="944" spans="1:10" x14ac:dyDescent="0.3">
      <c r="A944" s="15">
        <v>45992</v>
      </c>
      <c r="B944" s="17" t="s">
        <v>65</v>
      </c>
      <c r="C944" s="3" t="s">
        <v>4</v>
      </c>
      <c r="D944" s="3" t="str">
        <f>VLOOKUP(C944, Ref_Department!$A$2:$D$6, 2, FALSE)</f>
        <v>Marketing</v>
      </c>
      <c r="E944" s="3" t="s">
        <v>12</v>
      </c>
      <c r="F944" s="3" t="str">
        <f>VLOOKUP(E944, Ref_GLAccount!$A$2:$D$9, 2, FALSE)</f>
        <v>Training &amp; Development</v>
      </c>
      <c r="G944" s="3" t="str">
        <f>VLOOKUP(E944, Ref_GLAccount!$A$2:$D$9, 3, FALSE)</f>
        <v>Other OPEX</v>
      </c>
      <c r="H944" s="6" t="s">
        <v>66</v>
      </c>
      <c r="I944" s="7">
        <v>1175.3900000000001</v>
      </c>
      <c r="J944" s="18" t="b">
        <f>IF(tblFactFinance[[#This Row],[MonthStart]] &lt;= Inputs!$B$1, TRUE, FALSE)</f>
        <v>0</v>
      </c>
    </row>
    <row r="945" spans="1:10" x14ac:dyDescent="0.3">
      <c r="A945" s="15">
        <v>45992</v>
      </c>
      <c r="B945" s="17" t="s">
        <v>65</v>
      </c>
      <c r="C945" s="3" t="s">
        <v>4</v>
      </c>
      <c r="D945" s="3" t="str">
        <f>VLOOKUP(C945, Ref_Department!$A$2:$D$6, 2, FALSE)</f>
        <v>Marketing</v>
      </c>
      <c r="E945" s="3" t="s">
        <v>12</v>
      </c>
      <c r="F945" s="3" t="str">
        <f>VLOOKUP(E945, Ref_GLAccount!$A$2:$D$9, 2, FALSE)</f>
        <v>Training &amp; Development</v>
      </c>
      <c r="G945" s="3" t="str">
        <f>VLOOKUP(E945, Ref_GLAccount!$A$2:$D$9, 3, FALSE)</f>
        <v>Other OPEX</v>
      </c>
      <c r="H945" s="6" t="s">
        <v>70</v>
      </c>
      <c r="I945" s="7">
        <v>1144</v>
      </c>
      <c r="J945" s="18" t="b">
        <f>IF(tblFactFinance[[#This Row],[MonthStart]] &lt;= Inputs!$B$1, TRUE, FALSE)</f>
        <v>0</v>
      </c>
    </row>
    <row r="946" spans="1:10" x14ac:dyDescent="0.3">
      <c r="A946" s="15">
        <v>45992</v>
      </c>
      <c r="B946" s="17" t="s">
        <v>65</v>
      </c>
      <c r="C946" s="3" t="s">
        <v>5</v>
      </c>
      <c r="D946" s="3" t="str">
        <f>VLOOKUP(C946, Ref_Department!$A$2:$D$6, 2, FALSE)</f>
        <v>Human Resources</v>
      </c>
      <c r="E946" s="3" t="s">
        <v>33</v>
      </c>
      <c r="F946" s="3" t="str">
        <f>VLOOKUP(E946, Ref_GLAccount!$A$2:$D$9, 2, FALSE)</f>
        <v>Salaries</v>
      </c>
      <c r="G946" s="3" t="str">
        <f>VLOOKUP(E946, Ref_GLAccount!$A$2:$D$9, 3, FALSE)</f>
        <v>Personnel</v>
      </c>
      <c r="H946" s="6" t="s">
        <v>66</v>
      </c>
      <c r="I946" s="7">
        <v>52301.03</v>
      </c>
      <c r="J946" s="18" t="b">
        <f>IF(tblFactFinance[[#This Row],[MonthStart]] &lt;= Inputs!$B$1, TRUE, FALSE)</f>
        <v>0</v>
      </c>
    </row>
    <row r="947" spans="1:10" x14ac:dyDescent="0.3">
      <c r="A947" s="15">
        <v>45992</v>
      </c>
      <c r="B947" s="17" t="s">
        <v>65</v>
      </c>
      <c r="C947" s="3" t="s">
        <v>5</v>
      </c>
      <c r="D947" s="3" t="str">
        <f>VLOOKUP(C947, Ref_Department!$A$2:$D$6, 2, FALSE)</f>
        <v>Human Resources</v>
      </c>
      <c r="E947" s="3" t="s">
        <v>33</v>
      </c>
      <c r="F947" s="3" t="str">
        <f>VLOOKUP(E947, Ref_GLAccount!$A$2:$D$9, 2, FALSE)</f>
        <v>Salaries</v>
      </c>
      <c r="G947" s="3" t="str">
        <f>VLOOKUP(E947, Ref_GLAccount!$A$2:$D$9, 3, FALSE)</f>
        <v>Personnel</v>
      </c>
      <c r="H947" s="6" t="s">
        <v>70</v>
      </c>
      <c r="I947" s="7">
        <v>53560</v>
      </c>
      <c r="J947" s="18" t="b">
        <f>IF(tblFactFinance[[#This Row],[MonthStart]] &lt;= Inputs!$B$1, TRUE, FALSE)</f>
        <v>0</v>
      </c>
    </row>
    <row r="948" spans="1:10" x14ac:dyDescent="0.3">
      <c r="A948" s="15">
        <v>45992</v>
      </c>
      <c r="B948" s="17" t="s">
        <v>65</v>
      </c>
      <c r="C948" s="3" t="s">
        <v>5</v>
      </c>
      <c r="D948" s="3" t="str">
        <f>VLOOKUP(C948, Ref_Department!$A$2:$D$6, 2, FALSE)</f>
        <v>Human Resources</v>
      </c>
      <c r="E948" s="3" t="s">
        <v>37</v>
      </c>
      <c r="F948" s="3" t="str">
        <f>VLOOKUP(E948, Ref_GLAccount!$A$2:$D$9, 2, FALSE)</f>
        <v>Benefits</v>
      </c>
      <c r="G948" s="3" t="str">
        <f>VLOOKUP(E948, Ref_GLAccount!$A$2:$D$9, 3, FALSE)</f>
        <v>Personnel</v>
      </c>
      <c r="H948" s="6" t="s">
        <v>66</v>
      </c>
      <c r="I948" s="7">
        <v>11945.19</v>
      </c>
      <c r="J948" s="18" t="b">
        <f>IF(tblFactFinance[[#This Row],[MonthStart]] &lt;= Inputs!$B$1, TRUE, FALSE)</f>
        <v>0</v>
      </c>
    </row>
    <row r="949" spans="1:10" x14ac:dyDescent="0.3">
      <c r="A949" s="15">
        <v>45992</v>
      </c>
      <c r="B949" s="17" t="s">
        <v>65</v>
      </c>
      <c r="C949" s="3" t="s">
        <v>5</v>
      </c>
      <c r="D949" s="3" t="str">
        <f>VLOOKUP(C949, Ref_Department!$A$2:$D$6, 2, FALSE)</f>
        <v>Human Resources</v>
      </c>
      <c r="E949" s="3" t="s">
        <v>37</v>
      </c>
      <c r="F949" s="3" t="str">
        <f>VLOOKUP(E949, Ref_GLAccount!$A$2:$D$9, 2, FALSE)</f>
        <v>Benefits</v>
      </c>
      <c r="G949" s="3" t="str">
        <f>VLOOKUP(E949, Ref_GLAccount!$A$2:$D$9, 3, FALSE)</f>
        <v>Personnel</v>
      </c>
      <c r="H949" s="6" t="s">
        <v>70</v>
      </c>
      <c r="I949" s="7">
        <v>11783.2</v>
      </c>
      <c r="J949" s="18" t="b">
        <f>IF(tblFactFinance[[#This Row],[MonthStart]] &lt;= Inputs!$B$1, TRUE, FALSE)</f>
        <v>0</v>
      </c>
    </row>
    <row r="950" spans="1:10" x14ac:dyDescent="0.3">
      <c r="A950" s="15">
        <v>45992</v>
      </c>
      <c r="B950" s="17" t="s">
        <v>65</v>
      </c>
      <c r="C950" s="3" t="s">
        <v>5</v>
      </c>
      <c r="D950" s="3" t="str">
        <f>VLOOKUP(C950, Ref_Department!$A$2:$D$6, 2, FALSE)</f>
        <v>Human Resources</v>
      </c>
      <c r="E950" s="3" t="s">
        <v>7</v>
      </c>
      <c r="F950" s="3" t="str">
        <f>VLOOKUP(E950, Ref_GLAccount!$A$2:$D$9, 2, FALSE)</f>
        <v>Occupancy &amp; Facilities</v>
      </c>
      <c r="G950" s="3" t="str">
        <f>VLOOKUP(E950, Ref_GLAccount!$A$2:$D$9, 3, FALSE)</f>
        <v>Facilities</v>
      </c>
      <c r="H950" s="6" t="s">
        <v>66</v>
      </c>
      <c r="I950" s="7">
        <v>3917.49</v>
      </c>
      <c r="J950" s="18" t="b">
        <f>IF(tblFactFinance[[#This Row],[MonthStart]] &lt;= Inputs!$B$1, TRUE, FALSE)</f>
        <v>0</v>
      </c>
    </row>
    <row r="951" spans="1:10" x14ac:dyDescent="0.3">
      <c r="A951" s="15">
        <v>45992</v>
      </c>
      <c r="B951" s="17" t="s">
        <v>65</v>
      </c>
      <c r="C951" s="3" t="s">
        <v>5</v>
      </c>
      <c r="D951" s="3" t="str">
        <f>VLOOKUP(C951, Ref_Department!$A$2:$D$6, 2, FALSE)</f>
        <v>Human Resources</v>
      </c>
      <c r="E951" s="3" t="s">
        <v>7</v>
      </c>
      <c r="F951" s="3" t="str">
        <f>VLOOKUP(E951, Ref_GLAccount!$A$2:$D$9, 2, FALSE)</f>
        <v>Occupancy &amp; Facilities</v>
      </c>
      <c r="G951" s="3" t="str">
        <f>VLOOKUP(E951, Ref_GLAccount!$A$2:$D$9, 3, FALSE)</f>
        <v>Facilities</v>
      </c>
      <c r="H951" s="6" t="s">
        <v>70</v>
      </c>
      <c r="I951" s="7">
        <v>4000</v>
      </c>
      <c r="J951" s="18" t="b">
        <f>IF(tblFactFinance[[#This Row],[MonthStart]] &lt;= Inputs!$B$1, TRUE, FALSE)</f>
        <v>0</v>
      </c>
    </row>
    <row r="952" spans="1:10" x14ac:dyDescent="0.3">
      <c r="A952" s="15">
        <v>45992</v>
      </c>
      <c r="B952" s="17" t="s">
        <v>65</v>
      </c>
      <c r="C952" s="3" t="s">
        <v>5</v>
      </c>
      <c r="D952" s="3" t="str">
        <f>VLOOKUP(C952, Ref_Department!$A$2:$D$6, 2, FALSE)</f>
        <v>Human Resources</v>
      </c>
      <c r="E952" s="3" t="s">
        <v>8</v>
      </c>
      <c r="F952" s="3" t="str">
        <f>VLOOKUP(E952, Ref_GLAccount!$A$2:$D$9, 2, FALSE)</f>
        <v>IT Software &amp; Subscriptions</v>
      </c>
      <c r="G952" s="3" t="str">
        <f>VLOOKUP(E952, Ref_GLAccount!$A$2:$D$9, 3, FALSE)</f>
        <v>IT</v>
      </c>
      <c r="H952" s="6" t="s">
        <v>66</v>
      </c>
      <c r="I952" s="7">
        <v>5416.98</v>
      </c>
      <c r="J952" s="18" t="b">
        <f>IF(tblFactFinance[[#This Row],[MonthStart]] &lt;= Inputs!$B$1, TRUE, FALSE)</f>
        <v>0</v>
      </c>
    </row>
    <row r="953" spans="1:10" x14ac:dyDescent="0.3">
      <c r="A953" s="15">
        <v>45992</v>
      </c>
      <c r="B953" s="17" t="s">
        <v>65</v>
      </c>
      <c r="C953" s="3" t="s">
        <v>5</v>
      </c>
      <c r="D953" s="3" t="str">
        <f>VLOOKUP(C953, Ref_Department!$A$2:$D$6, 2, FALSE)</f>
        <v>Human Resources</v>
      </c>
      <c r="E953" s="3" t="s">
        <v>8</v>
      </c>
      <c r="F953" s="3" t="str">
        <f>VLOOKUP(E953, Ref_GLAccount!$A$2:$D$9, 2, FALSE)</f>
        <v>IT Software &amp; Subscriptions</v>
      </c>
      <c r="G953" s="3" t="str">
        <f>VLOOKUP(E953, Ref_GLAccount!$A$2:$D$9, 3, FALSE)</f>
        <v>IT</v>
      </c>
      <c r="H953" s="6" t="s">
        <v>70</v>
      </c>
      <c r="I953" s="7">
        <v>5200</v>
      </c>
      <c r="J953" s="18" t="b">
        <f>IF(tblFactFinance[[#This Row],[MonthStart]] &lt;= Inputs!$B$1, TRUE, FALSE)</f>
        <v>0</v>
      </c>
    </row>
    <row r="954" spans="1:10" x14ac:dyDescent="0.3">
      <c r="A954" s="15">
        <v>45992</v>
      </c>
      <c r="B954" s="17" t="s">
        <v>65</v>
      </c>
      <c r="C954" s="3" t="s">
        <v>5</v>
      </c>
      <c r="D954" s="3" t="str">
        <f>VLOOKUP(C954, Ref_Department!$A$2:$D$6, 2, FALSE)</f>
        <v>Human Resources</v>
      </c>
      <c r="E954" s="3" t="s">
        <v>9</v>
      </c>
      <c r="F954" s="3" t="str">
        <f>VLOOKUP(E954, Ref_GLAccount!$A$2:$D$9, 2, FALSE)</f>
        <v>Marketing &amp; Advertising</v>
      </c>
      <c r="G954" s="3" t="str">
        <f>VLOOKUP(E954, Ref_GLAccount!$A$2:$D$9, 3, FALSE)</f>
        <v>Marketing</v>
      </c>
      <c r="H954" s="6" t="s">
        <v>66</v>
      </c>
      <c r="I954" s="7">
        <v>1417.81</v>
      </c>
      <c r="J954" s="18" t="b">
        <f>IF(tblFactFinance[[#This Row],[MonthStart]] &lt;= Inputs!$B$1, TRUE, FALSE)</f>
        <v>0</v>
      </c>
    </row>
    <row r="955" spans="1:10" x14ac:dyDescent="0.3">
      <c r="A955" s="15">
        <v>45992</v>
      </c>
      <c r="B955" s="17" t="s">
        <v>65</v>
      </c>
      <c r="C955" s="3" t="s">
        <v>5</v>
      </c>
      <c r="D955" s="3" t="str">
        <f>VLOOKUP(C955, Ref_Department!$A$2:$D$6, 2, FALSE)</f>
        <v>Human Resources</v>
      </c>
      <c r="E955" s="3" t="s">
        <v>9</v>
      </c>
      <c r="F955" s="3" t="str">
        <f>VLOOKUP(E955, Ref_GLAccount!$A$2:$D$9, 2, FALSE)</f>
        <v>Marketing &amp; Advertising</v>
      </c>
      <c r="G955" s="3" t="str">
        <f>VLOOKUP(E955, Ref_GLAccount!$A$2:$D$9, 3, FALSE)</f>
        <v>Marketing</v>
      </c>
      <c r="H955" s="6" t="s">
        <v>70</v>
      </c>
      <c r="I955" s="7">
        <v>1497.6</v>
      </c>
      <c r="J955" s="18" t="b">
        <f>IF(tblFactFinance[[#This Row],[MonthStart]] &lt;= Inputs!$B$1, TRUE, FALSE)</f>
        <v>0</v>
      </c>
    </row>
    <row r="956" spans="1:10" x14ac:dyDescent="0.3">
      <c r="A956" s="15">
        <v>45992</v>
      </c>
      <c r="B956" s="17" t="s">
        <v>65</v>
      </c>
      <c r="C956" s="3" t="s">
        <v>5</v>
      </c>
      <c r="D956" s="3" t="str">
        <f>VLOOKUP(C956, Ref_Department!$A$2:$D$6, 2, FALSE)</f>
        <v>Human Resources</v>
      </c>
      <c r="E956" s="3" t="s">
        <v>10</v>
      </c>
      <c r="F956" s="3" t="str">
        <f>VLOOKUP(E956, Ref_GLAccount!$A$2:$D$9, 2, FALSE)</f>
        <v>Professional Services</v>
      </c>
      <c r="G956" s="3" t="str">
        <f>VLOOKUP(E956, Ref_GLAccount!$A$2:$D$9, 3, FALSE)</f>
        <v>Professional Services</v>
      </c>
      <c r="H956" s="6" t="s">
        <v>66</v>
      </c>
      <c r="I956" s="7">
        <v>3526.82</v>
      </c>
      <c r="J956" s="18" t="b">
        <f>IF(tblFactFinance[[#This Row],[MonthStart]] &lt;= Inputs!$B$1, TRUE, FALSE)</f>
        <v>0</v>
      </c>
    </row>
    <row r="957" spans="1:10" x14ac:dyDescent="0.3">
      <c r="A957" s="15">
        <v>45992</v>
      </c>
      <c r="B957" s="17" t="s">
        <v>65</v>
      </c>
      <c r="C957" s="3" t="s">
        <v>5</v>
      </c>
      <c r="D957" s="3" t="str">
        <f>VLOOKUP(C957, Ref_Department!$A$2:$D$6, 2, FALSE)</f>
        <v>Human Resources</v>
      </c>
      <c r="E957" s="3" t="s">
        <v>10</v>
      </c>
      <c r="F957" s="3" t="str">
        <f>VLOOKUP(E957, Ref_GLAccount!$A$2:$D$9, 2, FALSE)</f>
        <v>Professional Services</v>
      </c>
      <c r="G957" s="3" t="str">
        <f>VLOOKUP(E957, Ref_GLAccount!$A$2:$D$9, 3, FALSE)</f>
        <v>Professional Services</v>
      </c>
      <c r="H957" s="6" t="s">
        <v>70</v>
      </c>
      <c r="I957" s="7">
        <v>3640</v>
      </c>
      <c r="J957" s="18" t="b">
        <f>IF(tblFactFinance[[#This Row],[MonthStart]] &lt;= Inputs!$B$1, TRUE, FALSE)</f>
        <v>0</v>
      </c>
    </row>
    <row r="958" spans="1:10" x14ac:dyDescent="0.3">
      <c r="A958" s="15">
        <v>45992</v>
      </c>
      <c r="B958" s="17" t="s">
        <v>65</v>
      </c>
      <c r="C958" s="3" t="s">
        <v>5</v>
      </c>
      <c r="D958" s="3" t="str">
        <f>VLOOKUP(C958, Ref_Department!$A$2:$D$6, 2, FALSE)</f>
        <v>Human Resources</v>
      </c>
      <c r="E958" s="3" t="s">
        <v>11</v>
      </c>
      <c r="F958" s="3" t="str">
        <f>VLOOKUP(E958, Ref_GLAccount!$A$2:$D$9, 2, FALSE)</f>
        <v>Office Supplies</v>
      </c>
      <c r="G958" s="3" t="str">
        <f>VLOOKUP(E958, Ref_GLAccount!$A$2:$D$9, 3, FALSE)</f>
        <v>Other OPEX</v>
      </c>
      <c r="H958" s="6" t="s">
        <v>66</v>
      </c>
      <c r="I958" s="7">
        <v>650.41999999999996</v>
      </c>
      <c r="J958" s="18" t="b">
        <f>IF(tblFactFinance[[#This Row],[MonthStart]] &lt;= Inputs!$B$1, TRUE, FALSE)</f>
        <v>0</v>
      </c>
    </row>
    <row r="959" spans="1:10" x14ac:dyDescent="0.3">
      <c r="A959" s="15">
        <v>45992</v>
      </c>
      <c r="B959" s="17" t="s">
        <v>65</v>
      </c>
      <c r="C959" s="3" t="s">
        <v>5</v>
      </c>
      <c r="D959" s="3" t="str">
        <f>VLOOKUP(C959, Ref_Department!$A$2:$D$6, 2, FALSE)</f>
        <v>Human Resources</v>
      </c>
      <c r="E959" s="3" t="s">
        <v>11</v>
      </c>
      <c r="F959" s="3" t="str">
        <f>VLOOKUP(E959, Ref_GLAccount!$A$2:$D$9, 2, FALSE)</f>
        <v>Office Supplies</v>
      </c>
      <c r="G959" s="3" t="str">
        <f>VLOOKUP(E959, Ref_GLAccount!$A$2:$D$9, 3, FALSE)</f>
        <v>Other OPEX</v>
      </c>
      <c r="H959" s="6" t="s">
        <v>70</v>
      </c>
      <c r="I959" s="7">
        <v>624</v>
      </c>
      <c r="J959" s="18" t="b">
        <f>IF(tblFactFinance[[#This Row],[MonthStart]] &lt;= Inputs!$B$1, TRUE, FALSE)</f>
        <v>0</v>
      </c>
    </row>
    <row r="960" spans="1:10" x14ac:dyDescent="0.3">
      <c r="A960" s="15">
        <v>45992</v>
      </c>
      <c r="B960" s="17" t="s">
        <v>65</v>
      </c>
      <c r="C960" s="3" t="s">
        <v>5</v>
      </c>
      <c r="D960" s="3" t="str">
        <f>VLOOKUP(C960, Ref_Department!$A$2:$D$6, 2, FALSE)</f>
        <v>Human Resources</v>
      </c>
      <c r="E960" s="3" t="s">
        <v>12</v>
      </c>
      <c r="F960" s="3" t="str">
        <f>VLOOKUP(E960, Ref_GLAccount!$A$2:$D$9, 2, FALSE)</f>
        <v>Training &amp; Development</v>
      </c>
      <c r="G960" s="3" t="str">
        <f>VLOOKUP(E960, Ref_GLAccount!$A$2:$D$9, 3, FALSE)</f>
        <v>Other OPEX</v>
      </c>
      <c r="H960" s="6" t="s">
        <v>66</v>
      </c>
      <c r="I960" s="7">
        <v>1575.18</v>
      </c>
      <c r="J960" s="18" t="b">
        <f>IF(tblFactFinance[[#This Row],[MonthStart]] &lt;= Inputs!$B$1, TRUE, FALSE)</f>
        <v>0</v>
      </c>
    </row>
    <row r="961" spans="1:10" x14ac:dyDescent="0.3">
      <c r="A961" s="15">
        <v>45992</v>
      </c>
      <c r="B961" s="17" t="s">
        <v>65</v>
      </c>
      <c r="C961" s="3" t="s">
        <v>5</v>
      </c>
      <c r="D961" s="3" t="str">
        <f>VLOOKUP(C961, Ref_Department!$A$2:$D$6, 2, FALSE)</f>
        <v>Human Resources</v>
      </c>
      <c r="E961" s="3" t="s">
        <v>12</v>
      </c>
      <c r="F961" s="3" t="str">
        <f>VLOOKUP(E961, Ref_GLAccount!$A$2:$D$9, 2, FALSE)</f>
        <v>Training &amp; Development</v>
      </c>
      <c r="G961" s="3" t="str">
        <f>VLOOKUP(E961, Ref_GLAccount!$A$2:$D$9, 3, FALSE)</f>
        <v>Other OPEX</v>
      </c>
      <c r="H961" s="6" t="s">
        <v>70</v>
      </c>
      <c r="I961" s="7">
        <v>1664</v>
      </c>
      <c r="J961" s="18" t="b">
        <f>IF(tblFactFinance[[#This Row],[MonthStart]] &lt;= Inputs!$B$1, TRUE, FALSE)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pane ySplit="1" topLeftCell="A2" activePane="bottomLeft" state="frozen"/>
      <selection pane="bottomLeft" sqref="A1:D6"/>
    </sheetView>
  </sheetViews>
  <sheetFormatPr defaultRowHeight="14.4" x14ac:dyDescent="0.3"/>
  <cols>
    <col min="1" max="1" width="10" customWidth="1"/>
    <col min="2" max="2" width="26" customWidth="1"/>
    <col min="3" max="3" width="12" customWidth="1"/>
    <col min="4" max="4" width="18" customWidth="1"/>
  </cols>
  <sheetData>
    <row r="1" spans="1:6" x14ac:dyDescent="0.3">
      <c r="A1" s="4" t="s">
        <v>0</v>
      </c>
      <c r="B1" s="4" t="s">
        <v>13</v>
      </c>
      <c r="C1" s="4" t="s">
        <v>14</v>
      </c>
      <c r="D1" s="4" t="s">
        <v>15</v>
      </c>
      <c r="F1" t="s">
        <v>96</v>
      </c>
    </row>
    <row r="2" spans="1:6" x14ac:dyDescent="0.3">
      <c r="A2" s="3" t="s">
        <v>1</v>
      </c>
      <c r="B2" s="8" t="s">
        <v>16</v>
      </c>
      <c r="C2" s="8" t="s">
        <v>17</v>
      </c>
      <c r="D2" s="8" t="s">
        <v>18</v>
      </c>
    </row>
    <row r="3" spans="1:6" x14ac:dyDescent="0.3">
      <c r="A3" s="3" t="s">
        <v>2</v>
      </c>
      <c r="B3" s="8" t="s">
        <v>19</v>
      </c>
      <c r="C3" s="8" t="s">
        <v>20</v>
      </c>
      <c r="D3" s="8" t="s">
        <v>21</v>
      </c>
    </row>
    <row r="4" spans="1:6" x14ac:dyDescent="0.3">
      <c r="A4" s="3" t="s">
        <v>3</v>
      </c>
      <c r="B4" s="8" t="s">
        <v>22</v>
      </c>
      <c r="C4" s="8" t="s">
        <v>23</v>
      </c>
      <c r="D4" s="8" t="s">
        <v>24</v>
      </c>
    </row>
    <row r="5" spans="1:6" x14ac:dyDescent="0.3">
      <c r="A5" s="3" t="s">
        <v>4</v>
      </c>
      <c r="B5" s="8" t="s">
        <v>25</v>
      </c>
      <c r="C5" s="8" t="s">
        <v>26</v>
      </c>
      <c r="D5" s="8" t="s">
        <v>25</v>
      </c>
    </row>
    <row r="6" spans="1:6" x14ac:dyDescent="0.3">
      <c r="A6" s="3" t="s">
        <v>5</v>
      </c>
      <c r="B6" s="8" t="s">
        <v>27</v>
      </c>
      <c r="C6" s="8" t="s">
        <v>28</v>
      </c>
      <c r="D6" s="8" t="s">
        <v>29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workbookViewId="0">
      <pane ySplit="1" topLeftCell="A2" activePane="bottomLeft" state="frozen"/>
      <selection pane="bottomLeft" activeCell="F11" sqref="F11"/>
    </sheetView>
  </sheetViews>
  <sheetFormatPr defaultRowHeight="14.4" x14ac:dyDescent="0.3"/>
  <cols>
    <col min="1" max="1" width="12" customWidth="1"/>
    <col min="2" max="2" width="30" customWidth="1"/>
    <col min="3" max="3" width="22" customWidth="1"/>
    <col min="4" max="4" width="16" customWidth="1"/>
  </cols>
  <sheetData>
    <row r="1" spans="1:6" x14ac:dyDescent="0.3">
      <c r="A1" s="4" t="s">
        <v>6</v>
      </c>
      <c r="B1" s="4" t="s">
        <v>30</v>
      </c>
      <c r="C1" s="4" t="s">
        <v>31</v>
      </c>
      <c r="D1" s="4" t="s">
        <v>32</v>
      </c>
      <c r="F1" t="s">
        <v>96</v>
      </c>
    </row>
    <row r="2" spans="1:6" x14ac:dyDescent="0.3">
      <c r="A2" s="3" t="s">
        <v>33</v>
      </c>
      <c r="B2" s="8" t="s">
        <v>34</v>
      </c>
      <c r="C2" s="8" t="s">
        <v>35</v>
      </c>
      <c r="D2" s="8" t="s">
        <v>36</v>
      </c>
    </row>
    <row r="3" spans="1:6" x14ac:dyDescent="0.3">
      <c r="A3" s="3" t="s">
        <v>37</v>
      </c>
      <c r="B3" s="8" t="s">
        <v>38</v>
      </c>
      <c r="C3" s="8" t="s">
        <v>35</v>
      </c>
      <c r="D3" s="8" t="s">
        <v>38</v>
      </c>
    </row>
    <row r="4" spans="1:6" x14ac:dyDescent="0.3">
      <c r="A4" s="3" t="s">
        <v>7</v>
      </c>
      <c r="B4" s="8" t="s">
        <v>39</v>
      </c>
      <c r="C4" s="8" t="s">
        <v>40</v>
      </c>
      <c r="D4" s="8" t="s">
        <v>40</v>
      </c>
    </row>
    <row r="5" spans="1:6" x14ac:dyDescent="0.3">
      <c r="A5" s="3" t="s">
        <v>8</v>
      </c>
      <c r="B5" s="8" t="s">
        <v>41</v>
      </c>
      <c r="C5" s="8" t="s">
        <v>24</v>
      </c>
      <c r="D5" s="8" t="s">
        <v>42</v>
      </c>
    </row>
    <row r="6" spans="1:6" x14ac:dyDescent="0.3">
      <c r="A6" s="3" t="s">
        <v>9</v>
      </c>
      <c r="B6" s="8" t="s">
        <v>43</v>
      </c>
      <c r="C6" s="8" t="s">
        <v>25</v>
      </c>
      <c r="D6" s="8" t="s">
        <v>44</v>
      </c>
    </row>
    <row r="7" spans="1:6" x14ac:dyDescent="0.3">
      <c r="A7" s="3" t="s">
        <v>10</v>
      </c>
      <c r="B7" s="8" t="s">
        <v>45</v>
      </c>
      <c r="C7" s="8" t="s">
        <v>45</v>
      </c>
      <c r="D7" s="8" t="s">
        <v>42</v>
      </c>
    </row>
    <row r="8" spans="1:6" x14ac:dyDescent="0.3">
      <c r="A8" s="3" t="s">
        <v>11</v>
      </c>
      <c r="B8" s="8" t="s">
        <v>46</v>
      </c>
      <c r="C8" s="8" t="s">
        <v>47</v>
      </c>
      <c r="D8" s="8" t="s">
        <v>42</v>
      </c>
    </row>
    <row r="9" spans="1:6" x14ac:dyDescent="0.3">
      <c r="A9" s="3" t="s">
        <v>12</v>
      </c>
      <c r="B9" s="8" t="s">
        <v>48</v>
      </c>
      <c r="C9" s="8" t="s">
        <v>47</v>
      </c>
      <c r="D9" s="8" t="s">
        <v>42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>
      <pane ySplit="1" topLeftCell="A2" activePane="bottomLeft" state="frozen"/>
      <selection pane="bottomLeft" activeCell="G5" sqref="G5"/>
    </sheetView>
  </sheetViews>
  <sheetFormatPr defaultRowHeight="14.4" x14ac:dyDescent="0.3"/>
  <cols>
    <col min="1" max="1" width="14" customWidth="1"/>
    <col min="2" max="2" width="12" customWidth="1"/>
    <col min="3" max="3" width="13.6640625" bestFit="1" customWidth="1"/>
    <col min="4" max="4" width="10" customWidth="1"/>
    <col min="5" max="5" width="28" customWidth="1"/>
  </cols>
  <sheetData>
    <row r="1" spans="1:7" x14ac:dyDescent="0.3">
      <c r="A1" s="4" t="s">
        <v>49</v>
      </c>
      <c r="B1" s="4" t="s">
        <v>50</v>
      </c>
      <c r="C1" s="4" t="s">
        <v>51</v>
      </c>
      <c r="D1" s="4" t="s">
        <v>52</v>
      </c>
      <c r="E1" s="4" t="s">
        <v>53</v>
      </c>
      <c r="G1" t="s">
        <v>96</v>
      </c>
    </row>
    <row r="2" spans="1:7" x14ac:dyDescent="0.3">
      <c r="A2" s="9">
        <v>45658</v>
      </c>
      <c r="B2" s="8" t="s">
        <v>54</v>
      </c>
      <c r="C2" s="8">
        <v>1</v>
      </c>
      <c r="D2" s="8">
        <v>2025</v>
      </c>
      <c r="E2" s="8"/>
    </row>
    <row r="3" spans="1:7" x14ac:dyDescent="0.3">
      <c r="A3" s="9">
        <v>45689</v>
      </c>
      <c r="B3" s="8" t="s">
        <v>55</v>
      </c>
      <c r="C3" s="8">
        <v>2</v>
      </c>
      <c r="D3" s="8">
        <v>2025</v>
      </c>
      <c r="E3" s="8"/>
    </row>
    <row r="4" spans="1:7" x14ac:dyDescent="0.3">
      <c r="A4" s="9">
        <v>45717</v>
      </c>
      <c r="B4" s="8" t="s">
        <v>56</v>
      </c>
      <c r="C4" s="8">
        <v>3</v>
      </c>
      <c r="D4" s="8">
        <v>2025</v>
      </c>
      <c r="E4" s="8"/>
    </row>
    <row r="5" spans="1:7" x14ac:dyDescent="0.3">
      <c r="A5" s="9">
        <v>45748</v>
      </c>
      <c r="B5" s="8" t="s">
        <v>57</v>
      </c>
      <c r="C5" s="8">
        <v>4</v>
      </c>
      <c r="D5" s="8">
        <v>2025</v>
      </c>
      <c r="E5" s="8"/>
    </row>
    <row r="6" spans="1:7" x14ac:dyDescent="0.3">
      <c r="A6" s="9">
        <v>45778</v>
      </c>
      <c r="B6" s="8" t="s">
        <v>58</v>
      </c>
      <c r="C6" s="8">
        <v>5</v>
      </c>
      <c r="D6" s="8">
        <v>2025</v>
      </c>
      <c r="E6" s="8"/>
    </row>
    <row r="7" spans="1:7" x14ac:dyDescent="0.3">
      <c r="A7" s="9">
        <v>45809</v>
      </c>
      <c r="B7" s="8" t="s">
        <v>59</v>
      </c>
      <c r="C7" s="8">
        <v>6</v>
      </c>
      <c r="D7" s="8">
        <v>2025</v>
      </c>
      <c r="E7" s="8"/>
    </row>
    <row r="8" spans="1:7" x14ac:dyDescent="0.3">
      <c r="A8" s="9">
        <v>45839</v>
      </c>
      <c r="B8" s="8" t="s">
        <v>60</v>
      </c>
      <c r="C8" s="8">
        <v>7</v>
      </c>
      <c r="D8" s="8">
        <v>2025</v>
      </c>
      <c r="E8" s="8"/>
    </row>
    <row r="9" spans="1:7" x14ac:dyDescent="0.3">
      <c r="A9" s="9">
        <v>45870</v>
      </c>
      <c r="B9" s="8" t="s">
        <v>61</v>
      </c>
      <c r="C9" s="8">
        <v>8</v>
      </c>
      <c r="D9" s="8">
        <v>2025</v>
      </c>
      <c r="E9" s="8"/>
    </row>
    <row r="10" spans="1:7" x14ac:dyDescent="0.3">
      <c r="A10" s="9">
        <v>45901</v>
      </c>
      <c r="B10" s="8" t="s">
        <v>62</v>
      </c>
      <c r="C10" s="8">
        <v>9</v>
      </c>
      <c r="D10" s="8">
        <v>2025</v>
      </c>
      <c r="E10" s="8"/>
    </row>
    <row r="11" spans="1:7" x14ac:dyDescent="0.3">
      <c r="A11" s="9">
        <v>45931</v>
      </c>
      <c r="B11" s="8" t="s">
        <v>63</v>
      </c>
      <c r="C11" s="8">
        <v>10</v>
      </c>
      <c r="D11" s="8">
        <v>2025</v>
      </c>
      <c r="E11" s="8"/>
    </row>
    <row r="12" spans="1:7" x14ac:dyDescent="0.3">
      <c r="A12" s="9">
        <v>45962</v>
      </c>
      <c r="B12" s="8" t="s">
        <v>64</v>
      </c>
      <c r="C12" s="8">
        <v>11</v>
      </c>
      <c r="D12" s="8">
        <v>2025</v>
      </c>
      <c r="E12" s="8"/>
    </row>
    <row r="13" spans="1:7" x14ac:dyDescent="0.3">
      <c r="A13" s="9">
        <v>45992</v>
      </c>
      <c r="B13" s="8" t="s">
        <v>65</v>
      </c>
      <c r="C13" s="8">
        <v>12</v>
      </c>
      <c r="D13" s="8">
        <v>2025</v>
      </c>
      <c r="E13" s="8"/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6"/>
  <sheetViews>
    <sheetView zoomScaleNormal="100" workbookViewId="0">
      <pane ySplit="10" topLeftCell="A11" activePane="bottomLeft" state="frozen"/>
      <selection pane="bottomLeft" activeCell="B4" sqref="B4"/>
    </sheetView>
  </sheetViews>
  <sheetFormatPr defaultRowHeight="14.4" x14ac:dyDescent="0.3"/>
  <cols>
    <col min="1" max="1" width="38" customWidth="1"/>
    <col min="2" max="4" width="18" customWidth="1"/>
    <col min="5" max="5" width="22" customWidth="1"/>
    <col min="6" max="6" width="18" customWidth="1"/>
  </cols>
  <sheetData>
    <row r="1" spans="1:5" ht="21" x14ac:dyDescent="0.3">
      <c r="A1" s="1" t="s">
        <v>84</v>
      </c>
    </row>
    <row r="3" spans="1:5" x14ac:dyDescent="0.3">
      <c r="A3" s="2" t="s">
        <v>71</v>
      </c>
      <c r="D3" s="2" t="s">
        <v>72</v>
      </c>
    </row>
    <row r="4" spans="1:5" x14ac:dyDescent="0.3">
      <c r="A4" s="3" t="s">
        <v>73</v>
      </c>
      <c r="B4" s="7">
        <f>SUMIFS(tblFactFinance[Amount], tblFactFinance[Version], "Budget", tblFactFinance[Is_Closed_Month], TRUE)</f>
        <v>10285583.799999999</v>
      </c>
      <c r="D4" t="s">
        <v>75</v>
      </c>
      <c r="E4" s="11">
        <f>Inputs!$B$1</f>
        <v>45952</v>
      </c>
    </row>
    <row r="5" spans="1:5" x14ac:dyDescent="0.3">
      <c r="A5" s="3" t="s">
        <v>74</v>
      </c>
      <c r="B5" s="7">
        <f>SUMIFS(tblFactFinance[Amount], tblFactFinance[Version], "Actual", tblFactFinance[Is_Closed_Month], TRUE)</f>
        <v>10385432.249999998</v>
      </c>
    </row>
    <row r="6" spans="1:5" x14ac:dyDescent="0.3">
      <c r="A6" s="3" t="s">
        <v>76</v>
      </c>
      <c r="B6" s="10">
        <f>B5-B4</f>
        <v>99848.449999999255</v>
      </c>
    </row>
    <row r="7" spans="1:5" x14ac:dyDescent="0.3">
      <c r="A7" s="3" t="s">
        <v>77</v>
      </c>
      <c r="B7" s="5">
        <f>IF(B4=0,"",(B5-B4)/B4)</f>
        <v>9.7076113462805352E-3</v>
      </c>
    </row>
    <row r="10" spans="1:5" x14ac:dyDescent="0.3">
      <c r="A10" s="2" t="s">
        <v>78</v>
      </c>
    </row>
    <row r="11" spans="1:5" x14ac:dyDescent="0.3">
      <c r="A11" s="4" t="s">
        <v>13</v>
      </c>
      <c r="B11" s="4" t="s">
        <v>70</v>
      </c>
      <c r="C11" s="4" t="s">
        <v>66</v>
      </c>
      <c r="D11" s="4" t="s">
        <v>79</v>
      </c>
      <c r="E11" s="4" t="s">
        <v>80</v>
      </c>
    </row>
    <row r="12" spans="1:5" x14ac:dyDescent="0.3">
      <c r="A12" s="3" t="s">
        <v>16</v>
      </c>
      <c r="B12" s="7">
        <f>SUMIFS(tblFactFinance[Amount], tblFactFinance[Version], "Budget", tblFactFinance[DeptName], $A12, tblFactFinance[Is_Closed_Month], TRUE)</f>
        <v>3079346</v>
      </c>
      <c r="C12" s="7">
        <f>SUMIFS(tblFactFinance[Amount], tblFactFinance[Version], "Actual", tblFactFinance[DeptName], $A12, tblFactFinance[Is_Closed_Month], TRUE)</f>
        <v>3093453.16</v>
      </c>
      <c r="D12" s="10">
        <f>C12-B12</f>
        <v>14107.160000000149</v>
      </c>
      <c r="E12" s="5">
        <f>IF(B12=0,"",D12/B12)</f>
        <v>4.5812195186900563E-3</v>
      </c>
    </row>
    <row r="13" spans="1:5" x14ac:dyDescent="0.3">
      <c r="A13" s="3" t="s">
        <v>19</v>
      </c>
      <c r="B13" s="7">
        <f>SUMIFS(tblFactFinance[Amount], tblFactFinance[Version], "Budget", tblFactFinance[DeptName], $A13, tblFactFinance[Is_Closed_Month], TRUE)</f>
        <v>2537952</v>
      </c>
      <c r="C13" s="7">
        <f>SUMIFS(tblFactFinance[Amount], tblFactFinance[Version], "Actual", tblFactFinance[DeptName], $A13, tblFactFinance[Is_Closed_Month], TRUE)</f>
        <v>2556068.5099999998</v>
      </c>
      <c r="D13" s="10">
        <f>C13-B13</f>
        <v>18116.509999999776</v>
      </c>
      <c r="E13" s="5">
        <f>IF(B13=0,"",D13/B13)</f>
        <v>7.1382398091058364E-3</v>
      </c>
    </row>
    <row r="14" spans="1:5" x14ac:dyDescent="0.3">
      <c r="A14" s="3" t="s">
        <v>22</v>
      </c>
      <c r="B14" s="7">
        <f>SUMIFS(tblFactFinance[Amount], tblFactFinance[Version], "Budget", tblFactFinance[DeptName], $A14, tblFactFinance[Is_Closed_Month], TRUE)</f>
        <v>2542378</v>
      </c>
      <c r="C14" s="7">
        <f>SUMIFS(tblFactFinance[Amount], tblFactFinance[Version], "Actual", tblFactFinance[DeptName], $A14, tblFactFinance[Is_Closed_Month], TRUE)</f>
        <v>2617050.5300000007</v>
      </c>
      <c r="D14" s="10">
        <f>C14-B14</f>
        <v>74672.530000000726</v>
      </c>
      <c r="E14" s="5">
        <f>IF(B14=0,"",D14/B14)</f>
        <v>2.9371135999446473E-2</v>
      </c>
    </row>
    <row r="15" spans="1:5" x14ac:dyDescent="0.3">
      <c r="A15" s="3" t="s">
        <v>25</v>
      </c>
      <c r="B15" s="7">
        <f>SUMIFS(tblFactFinance[Amount], tblFactFinance[Version], "Budget", tblFactFinance[DeptName], $A15, tblFactFinance[Is_Closed_Month], TRUE)</f>
        <v>1307967</v>
      </c>
      <c r="C15" s="7">
        <f>SUMIFS(tblFactFinance[Amount], tblFactFinance[Version], "Actual", tblFactFinance[DeptName], $A15, tblFactFinance[Is_Closed_Month], TRUE)</f>
        <v>1313079.56</v>
      </c>
      <c r="D15" s="10">
        <f>C15-B15</f>
        <v>5112.5600000000559</v>
      </c>
      <c r="E15" s="5">
        <f>IF(B15=0,"",D15/B15)</f>
        <v>3.9087836313913549E-3</v>
      </c>
    </row>
    <row r="16" spans="1:5" x14ac:dyDescent="0.3">
      <c r="A16" s="3" t="s">
        <v>27</v>
      </c>
      <c r="B16" s="7">
        <f>SUMIFS(tblFactFinance[Amount], tblFactFinance[Version], "Budget", tblFactFinance[DeptName], $A16, tblFactFinance[Is_Closed_Month], TRUE)</f>
        <v>817940.79999999993</v>
      </c>
      <c r="C16" s="7">
        <f>SUMIFS(tblFactFinance[Amount], tblFactFinance[Version], "Actual", tblFactFinance[DeptName], $A16, tblFactFinance[Is_Closed_Month], TRUE)</f>
        <v>805780.48999999987</v>
      </c>
      <c r="D16" s="10">
        <f>C16-B16</f>
        <v>-12160.310000000056</v>
      </c>
      <c r="E16" s="5">
        <f>IF(B16=0,"",D16/B16)</f>
        <v>-1.4866980593216596E-2</v>
      </c>
    </row>
    <row r="19" spans="1:5" x14ac:dyDescent="0.3">
      <c r="A19" s="2" t="s">
        <v>81</v>
      </c>
    </row>
    <row r="20" spans="1:5" x14ac:dyDescent="0.3">
      <c r="A20" s="4" t="s">
        <v>31</v>
      </c>
      <c r="B20" s="4" t="s">
        <v>70</v>
      </c>
      <c r="C20" s="4" t="s">
        <v>66</v>
      </c>
      <c r="D20" s="4" t="s">
        <v>79</v>
      </c>
      <c r="E20" s="4" t="s">
        <v>80</v>
      </c>
    </row>
    <row r="21" spans="1:5" x14ac:dyDescent="0.3">
      <c r="A21" s="3" t="s">
        <v>40</v>
      </c>
      <c r="B21" s="7">
        <f>SUMIFS(tblFactFinance[Amount], tblFactFinance[Version], "Budget", tblFactFinance[Category], $A21, tblFactFinance[Is_Closed_Month], TRUE)</f>
        <v>730000</v>
      </c>
      <c r="C21" s="7">
        <f>SUMIFS(tblFactFinance[Amount], tblFactFinance[Version], "Actual", tblFactFinance[Category], $A21, tblFactFinance[Is_Closed_Month], TRUE)</f>
        <v>733810.58999999985</v>
      </c>
      <c r="D21" s="10">
        <f t="shared" ref="D21:D26" si="0">C21-B21</f>
        <v>3810.589999999851</v>
      </c>
      <c r="E21" s="5">
        <f>IF(B21=0,"",D21/B21)</f>
        <v>5.2199863013696586E-3</v>
      </c>
    </row>
    <row r="22" spans="1:5" x14ac:dyDescent="0.3">
      <c r="A22" s="3" t="s">
        <v>24</v>
      </c>
      <c r="B22" s="7">
        <f>SUMIFS(tblFactFinance[Amount], tblFactFinance[Version], "Budget", tblFactFinance[Category], $A22, tblFactFinance[Is_Closed_Month], TRUE)</f>
        <v>780000</v>
      </c>
      <c r="C22" s="7">
        <f>SUMIFS(tblFactFinance[Amount], tblFactFinance[Version], "Actual", tblFactFinance[Category], $A22, tblFactFinance[Is_Closed_Month], TRUE)</f>
        <v>816426.04999999993</v>
      </c>
      <c r="D22" s="10">
        <f t="shared" si="0"/>
        <v>36426.04999999993</v>
      </c>
      <c r="E22" s="5">
        <f t="shared" ref="E22:E26" si="1">IF(B22=0,"",D22/B22)</f>
        <v>4.6700064102564012E-2</v>
      </c>
    </row>
    <row r="23" spans="1:5" x14ac:dyDescent="0.3">
      <c r="A23" s="3" t="s">
        <v>25</v>
      </c>
      <c r="B23" s="7">
        <f>SUMIFS(tblFactFinance[Amount], tblFactFinance[Version], "Budget", tblFactFinance[Category], $A23, tblFactFinance[Is_Closed_Month], TRUE)</f>
        <v>448676.80000000005</v>
      </c>
      <c r="C23" s="7">
        <f>SUMIFS(tblFactFinance[Amount], tblFactFinance[Version], "Actual", tblFactFinance[Category], $A23, tblFactFinance[Is_Closed_Month], TRUE)</f>
        <v>449703.74999999988</v>
      </c>
      <c r="D23" s="10">
        <f t="shared" si="0"/>
        <v>1026.949999999837</v>
      </c>
      <c r="E23" s="5">
        <f t="shared" si="1"/>
        <v>2.2888413218598263E-3</v>
      </c>
    </row>
    <row r="24" spans="1:5" x14ac:dyDescent="0.3">
      <c r="A24" s="3" t="s">
        <v>47</v>
      </c>
      <c r="B24" s="7">
        <f>SUMIFS(tblFactFinance[Amount], tblFactFinance[Version], "Budget", tblFactFinance[Category], $A24, tblFactFinance[Is_Closed_Month], TRUE)</f>
        <v>120640</v>
      </c>
      <c r="C24" s="7">
        <f>SUMIFS(tblFactFinance[Amount], tblFactFinance[Version], "Actual", tblFactFinance[Category], $A24, tblFactFinance[Is_Closed_Month], TRUE)</f>
        <v>121474.90999999997</v>
      </c>
      <c r="D24" s="10">
        <f t="shared" si="0"/>
        <v>834.90999999997439</v>
      </c>
      <c r="E24" s="5">
        <f t="shared" si="1"/>
        <v>6.9206730769228644E-3</v>
      </c>
    </row>
    <row r="25" spans="1:5" x14ac:dyDescent="0.3">
      <c r="A25" s="3" t="s">
        <v>35</v>
      </c>
      <c r="B25" s="7">
        <f>SUMIFS(tblFactFinance[Amount], tblFactFinance[Version], "Budget", tblFactFinance[Category], $A25, tblFactFinance[Is_Closed_Month], TRUE)</f>
        <v>7847467.0000000019</v>
      </c>
      <c r="C25" s="7">
        <f>SUMIFS(tblFactFinance[Amount], tblFactFinance[Version], "Actual", tblFactFinance[Category], $A25, tblFactFinance[Is_Closed_Month], TRUE)</f>
        <v>7884165.9799999986</v>
      </c>
      <c r="D25" s="10">
        <f t="shared" si="0"/>
        <v>36698.979999996722</v>
      </c>
      <c r="E25" s="5">
        <f t="shared" si="1"/>
        <v>4.6765383021039417E-3</v>
      </c>
    </row>
    <row r="26" spans="1:5" x14ac:dyDescent="0.3">
      <c r="A26" s="3" t="s">
        <v>45</v>
      </c>
      <c r="B26" s="7">
        <f>SUMIFS(tblFactFinance[Amount], tblFactFinance[Version], "Budget", tblFactFinance[Category], $A26, tblFactFinance[Is_Closed_Month], TRUE)</f>
        <v>358800</v>
      </c>
      <c r="C26" s="7">
        <f>SUMIFS(tblFactFinance[Amount], tblFactFinance[Version], "Actual", tblFactFinance[Category], $A26, tblFactFinance[Is_Closed_Month], TRUE)</f>
        <v>379850.97000000003</v>
      </c>
      <c r="D26" s="10">
        <f t="shared" si="0"/>
        <v>21050.97000000003</v>
      </c>
      <c r="E26" s="5">
        <f t="shared" si="1"/>
        <v>5.867048494983286E-2</v>
      </c>
    </row>
  </sheetData>
  <conditionalFormatting sqref="A21:D26">
    <cfRule type="expression" dxfId="5" priority="11">
      <formula>AND(ABS($D21)&gt;75000,ABS($E21)&gt;0.05)</formula>
    </cfRule>
  </conditionalFormatting>
  <conditionalFormatting sqref="A12:E16">
    <cfRule type="expression" dxfId="4" priority="8">
      <formula>AND(ABS($D12)&gt;50000,ABS($E12)&gt;0.05)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" operator="lessThanOrEqual" id="{A5D20E5A-83E5-47E9-9E19-2F60B677CCD0}">
            <xm:f>Inputs!$B$2</xm:f>
            <x14:dxf>
              <fill>
                <patternFill>
                  <bgColor rgb="FF00FF00"/>
                </patternFill>
              </fill>
            </x14:dxf>
          </x14:cfRule>
          <x14:cfRule type="cellIs" priority="5" operator="greaterThanOrEqual" id="{667E16A8-F880-43C2-8E21-9C824EDC2551}">
            <xm:f>Inputs!$B$2</xm:f>
            <x14:dxf>
              <fill>
                <patternFill>
                  <bgColor rgb="FFFF0000"/>
                </patternFill>
              </fill>
            </x14:dxf>
          </x14:cfRule>
          <xm:sqref>E12:E16</xm:sqref>
        </x14:conditionalFormatting>
        <x14:conditionalFormatting xmlns:xm="http://schemas.microsoft.com/office/excel/2006/main">
          <x14:cfRule type="cellIs" priority="1" operator="lessThanOrEqual" id="{7576DB75-BE97-4A18-8EF5-2F6C0206F53A}">
            <xm:f>Inputs!$B$2</xm:f>
            <x14:dxf>
              <fill>
                <patternFill>
                  <bgColor rgb="FF00FF00"/>
                </patternFill>
              </fill>
            </x14:dxf>
          </x14:cfRule>
          <x14:cfRule type="cellIs" priority="2" operator="greaterThanOrEqual" id="{92DCF0A3-2D64-4C4F-99EA-1CC85BDE7B78}">
            <xm:f>Inputs!$B$2</xm:f>
            <x14:dxf>
              <fill>
                <patternFill>
                  <bgColor rgb="FFFF0000"/>
                </patternFill>
              </fill>
            </x14:dxf>
          </x14:cfRule>
          <xm:sqref>E21:E26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62"/>
  <sheetViews>
    <sheetView workbookViewId="0">
      <pane ySplit="8" topLeftCell="A9" activePane="bottomLeft" state="frozen"/>
      <selection pane="bottomLeft" activeCell="A62" sqref="A62"/>
    </sheetView>
  </sheetViews>
  <sheetFormatPr defaultRowHeight="14.4" x14ac:dyDescent="0.3"/>
  <cols>
    <col min="1" max="1" width="131.77734375" customWidth="1"/>
  </cols>
  <sheetData>
    <row r="1" spans="1:1" ht="21" x14ac:dyDescent="0.3">
      <c r="A1" s="1" t="s">
        <v>83</v>
      </c>
    </row>
    <row r="3" spans="1:1" x14ac:dyDescent="0.3">
      <c r="A3" s="2" t="s">
        <v>82</v>
      </c>
    </row>
    <row r="4" spans="1:1" ht="28.8" x14ac:dyDescent="0.3">
      <c r="A4" s="20" t="s">
        <v>99</v>
      </c>
    </row>
    <row r="5" spans="1:1" ht="14.4" customHeight="1" x14ac:dyDescent="0.3">
      <c r="A5" s="20"/>
    </row>
    <row r="6" spans="1:1" ht="28.8" x14ac:dyDescent="0.3">
      <c r="A6" s="20" t="s">
        <v>97</v>
      </c>
    </row>
    <row r="8" spans="1:1" x14ac:dyDescent="0.3">
      <c r="A8" s="22" t="s">
        <v>98</v>
      </c>
    </row>
    <row r="9" spans="1:1" x14ac:dyDescent="0.3">
      <c r="A9" s="23" t="s">
        <v>100</v>
      </c>
    </row>
    <row r="10" spans="1:1" x14ac:dyDescent="0.3">
      <c r="A10" s="23" t="s">
        <v>101</v>
      </c>
    </row>
    <row r="11" spans="1:1" x14ac:dyDescent="0.3">
      <c r="A11" t="s">
        <v>102</v>
      </c>
    </row>
    <row r="12" spans="1:1" x14ac:dyDescent="0.3">
      <c r="A12" t="s">
        <v>103</v>
      </c>
    </row>
    <row r="13" spans="1:1" x14ac:dyDescent="0.3">
      <c r="A13" t="s">
        <v>104</v>
      </c>
    </row>
    <row r="14" spans="1:1" x14ac:dyDescent="0.3">
      <c r="A14" t="s">
        <v>105</v>
      </c>
    </row>
    <row r="15" spans="1:1" x14ac:dyDescent="0.3">
      <c r="A15" t="s">
        <v>106</v>
      </c>
    </row>
    <row r="16" spans="1:1" x14ac:dyDescent="0.3">
      <c r="A16" t="s">
        <v>107</v>
      </c>
    </row>
    <row r="17" spans="1:1" x14ac:dyDescent="0.3">
      <c r="A17" t="s">
        <v>108</v>
      </c>
    </row>
    <row r="18" spans="1:1" x14ac:dyDescent="0.3">
      <c r="A18" t="s">
        <v>117</v>
      </c>
    </row>
    <row r="19" spans="1:1" x14ac:dyDescent="0.3">
      <c r="A19" t="s">
        <v>109</v>
      </c>
    </row>
    <row r="21" spans="1:1" x14ac:dyDescent="0.3">
      <c r="A21" s="22" t="s">
        <v>110</v>
      </c>
    </row>
    <row r="22" spans="1:1" x14ac:dyDescent="0.3">
      <c r="A22" s="23" t="s">
        <v>111</v>
      </c>
    </row>
    <row r="23" spans="1:1" x14ac:dyDescent="0.3">
      <c r="A23" s="23" t="s">
        <v>101</v>
      </c>
    </row>
    <row r="24" spans="1:1" x14ac:dyDescent="0.3">
      <c r="A24" t="s">
        <v>112</v>
      </c>
    </row>
    <row r="25" spans="1:1" x14ac:dyDescent="0.3">
      <c r="A25" t="s">
        <v>113</v>
      </c>
    </row>
    <row r="26" spans="1:1" x14ac:dyDescent="0.3">
      <c r="A26" t="s">
        <v>114</v>
      </c>
    </row>
    <row r="27" spans="1:1" x14ac:dyDescent="0.3">
      <c r="A27" t="s">
        <v>115</v>
      </c>
    </row>
    <row r="28" spans="1:1" x14ac:dyDescent="0.3">
      <c r="A28" t="s">
        <v>116</v>
      </c>
    </row>
    <row r="29" spans="1:1" x14ac:dyDescent="0.3">
      <c r="A29" t="s">
        <v>107</v>
      </c>
    </row>
    <row r="30" spans="1:1" x14ac:dyDescent="0.3">
      <c r="A30" t="s">
        <v>108</v>
      </c>
    </row>
    <row r="31" spans="1:1" x14ac:dyDescent="0.3">
      <c r="A31" t="s">
        <v>118</v>
      </c>
    </row>
    <row r="32" spans="1:1" x14ac:dyDescent="0.3">
      <c r="A32" t="s">
        <v>119</v>
      </c>
    </row>
    <row r="34" spans="1:1" x14ac:dyDescent="0.3">
      <c r="A34" s="22" t="s">
        <v>122</v>
      </c>
    </row>
    <row r="35" spans="1:1" x14ac:dyDescent="0.3">
      <c r="A35" s="23" t="s">
        <v>120</v>
      </c>
    </row>
    <row r="36" spans="1:1" x14ac:dyDescent="0.3">
      <c r="A36" s="23" t="s">
        <v>101</v>
      </c>
    </row>
    <row r="37" spans="1:1" x14ac:dyDescent="0.3">
      <c r="A37" t="s">
        <v>112</v>
      </c>
    </row>
    <row r="38" spans="1:1" x14ac:dyDescent="0.3">
      <c r="A38" t="s">
        <v>123</v>
      </c>
    </row>
    <row r="39" spans="1:1" x14ac:dyDescent="0.3">
      <c r="A39" t="s">
        <v>114</v>
      </c>
    </row>
    <row r="40" spans="1:1" x14ac:dyDescent="0.3">
      <c r="A40" t="s">
        <v>124</v>
      </c>
    </row>
    <row r="41" spans="1:1" x14ac:dyDescent="0.3">
      <c r="A41" t="s">
        <v>116</v>
      </c>
    </row>
    <row r="42" spans="1:1" x14ac:dyDescent="0.3">
      <c r="A42" t="s">
        <v>107</v>
      </c>
    </row>
    <row r="43" spans="1:1" x14ac:dyDescent="0.3">
      <c r="A43" t="s">
        <v>108</v>
      </c>
    </row>
    <row r="44" spans="1:1" x14ac:dyDescent="0.3">
      <c r="A44" t="s">
        <v>118</v>
      </c>
    </row>
    <row r="45" spans="1:1" x14ac:dyDescent="0.3">
      <c r="A45" t="s">
        <v>121</v>
      </c>
    </row>
    <row r="47" spans="1:1" x14ac:dyDescent="0.3">
      <c r="A47" s="22" t="s">
        <v>125</v>
      </c>
    </row>
    <row r="48" spans="1:1" x14ac:dyDescent="0.3">
      <c r="A48" s="23" t="s">
        <v>126</v>
      </c>
    </row>
    <row r="49" spans="1:1" x14ac:dyDescent="0.3">
      <c r="A49" s="23" t="s">
        <v>101</v>
      </c>
    </row>
    <row r="50" spans="1:1" x14ac:dyDescent="0.3">
      <c r="A50" t="s">
        <v>127</v>
      </c>
    </row>
    <row r="51" spans="1:1" x14ac:dyDescent="0.3">
      <c r="A51" t="s">
        <v>124</v>
      </c>
    </row>
    <row r="52" spans="1:1" x14ac:dyDescent="0.3">
      <c r="A52" t="s">
        <v>116</v>
      </c>
    </row>
    <row r="53" spans="1:1" x14ac:dyDescent="0.3">
      <c r="A53" t="s">
        <v>107</v>
      </c>
    </row>
    <row r="54" spans="1:1" x14ac:dyDescent="0.3">
      <c r="A54" t="s">
        <v>108</v>
      </c>
    </row>
    <row r="55" spans="1:1" x14ac:dyDescent="0.3">
      <c r="A55" t="s">
        <v>118</v>
      </c>
    </row>
    <row r="56" spans="1:1" x14ac:dyDescent="0.3">
      <c r="A56" t="s">
        <v>128</v>
      </c>
    </row>
    <row r="59" spans="1:1" x14ac:dyDescent="0.3">
      <c r="A59" s="22" t="s">
        <v>53</v>
      </c>
    </row>
    <row r="60" spans="1:1" x14ac:dyDescent="0.3">
      <c r="A60" t="s">
        <v>129</v>
      </c>
    </row>
    <row r="61" spans="1:1" x14ac:dyDescent="0.3">
      <c r="A61" t="s">
        <v>130</v>
      </c>
    </row>
    <row r="62" spans="1:1" x14ac:dyDescent="0.3">
      <c r="A62" t="s">
        <v>131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80D1-F01F-4D2A-8CBB-28A9304E881D}">
  <dimension ref="A1:C44"/>
  <sheetViews>
    <sheetView tabSelected="1" topLeftCell="A15" zoomScale="190" zoomScaleNormal="190" workbookViewId="0">
      <selection activeCell="F27" sqref="F27"/>
    </sheetView>
  </sheetViews>
  <sheetFormatPr defaultRowHeight="14.4" x14ac:dyDescent="0.3"/>
  <cols>
    <col min="1" max="1" width="20.77734375" bestFit="1" customWidth="1"/>
    <col min="2" max="2" width="15.5546875" bestFit="1" customWidth="1"/>
    <col min="3" max="3" width="18" bestFit="1" customWidth="1"/>
    <col min="4" max="4" width="11.109375" bestFit="1" customWidth="1"/>
  </cols>
  <sheetData>
    <row r="1" spans="1:3" x14ac:dyDescent="0.3">
      <c r="A1" s="24" t="s">
        <v>87</v>
      </c>
      <c r="B1" s="25" t="s">
        <v>90</v>
      </c>
      <c r="C1" s="29" t="s">
        <v>91</v>
      </c>
    </row>
    <row r="2" spans="1:3" x14ac:dyDescent="0.3">
      <c r="A2" s="25"/>
      <c r="B2" s="25"/>
    </row>
    <row r="3" spans="1:3" x14ac:dyDescent="0.3">
      <c r="A3" s="24" t="s">
        <v>88</v>
      </c>
      <c r="B3" s="25" t="s">
        <v>89</v>
      </c>
    </row>
    <row r="4" spans="1:3" x14ac:dyDescent="0.3">
      <c r="A4" s="26" t="s">
        <v>66</v>
      </c>
      <c r="B4" s="27">
        <v>10385432.249999998</v>
      </c>
    </row>
    <row r="5" spans="1:3" x14ac:dyDescent="0.3">
      <c r="A5" s="26" t="s">
        <v>70</v>
      </c>
      <c r="B5" s="27">
        <v>10285583.799999999</v>
      </c>
    </row>
    <row r="8" spans="1:3" x14ac:dyDescent="0.3">
      <c r="A8" s="24" t="s">
        <v>87</v>
      </c>
      <c r="B8" s="28" t="s">
        <v>90</v>
      </c>
      <c r="C8" s="29" t="s">
        <v>93</v>
      </c>
    </row>
    <row r="9" spans="1:3" x14ac:dyDescent="0.3">
      <c r="A9" s="25"/>
      <c r="B9" s="28"/>
    </row>
    <row r="10" spans="1:3" x14ac:dyDescent="0.3">
      <c r="A10" s="24" t="s">
        <v>89</v>
      </c>
      <c r="B10" s="24" t="s">
        <v>92</v>
      </c>
      <c r="C10" s="30"/>
    </row>
    <row r="11" spans="1:3" x14ac:dyDescent="0.3">
      <c r="A11" s="24" t="s">
        <v>88</v>
      </c>
      <c r="B11" s="25" t="s">
        <v>66</v>
      </c>
      <c r="C11" s="25" t="s">
        <v>70</v>
      </c>
    </row>
    <row r="12" spans="1:3" x14ac:dyDescent="0.3">
      <c r="A12" s="26" t="s">
        <v>16</v>
      </c>
      <c r="B12" s="27">
        <v>3093453.16</v>
      </c>
      <c r="C12" s="27">
        <v>3079346</v>
      </c>
    </row>
    <row r="13" spans="1:3" x14ac:dyDescent="0.3">
      <c r="A13" s="26" t="s">
        <v>27</v>
      </c>
      <c r="B13" s="27">
        <v>805780.48999999987</v>
      </c>
      <c r="C13" s="27">
        <v>817940.79999999993</v>
      </c>
    </row>
    <row r="14" spans="1:3" x14ac:dyDescent="0.3">
      <c r="A14" s="26" t="s">
        <v>22</v>
      </c>
      <c r="B14" s="27">
        <v>2617050.5300000007</v>
      </c>
      <c r="C14" s="27">
        <v>2542378</v>
      </c>
    </row>
    <row r="15" spans="1:3" x14ac:dyDescent="0.3">
      <c r="A15" s="26" t="s">
        <v>19</v>
      </c>
      <c r="B15" s="27">
        <v>2556068.5099999998</v>
      </c>
      <c r="C15" s="27">
        <v>2537952</v>
      </c>
    </row>
    <row r="16" spans="1:3" x14ac:dyDescent="0.3">
      <c r="A16" s="26" t="s">
        <v>25</v>
      </c>
      <c r="B16" s="27">
        <v>1313079.56</v>
      </c>
      <c r="C16" s="27">
        <v>1307967</v>
      </c>
    </row>
    <row r="19" spans="1:3" x14ac:dyDescent="0.3">
      <c r="A19" s="24" t="s">
        <v>87</v>
      </c>
      <c r="B19" s="25" t="s">
        <v>90</v>
      </c>
      <c r="C19" s="29" t="s">
        <v>94</v>
      </c>
    </row>
    <row r="20" spans="1:3" x14ac:dyDescent="0.3">
      <c r="A20" s="25"/>
      <c r="B20" s="25"/>
    </row>
    <row r="21" spans="1:3" x14ac:dyDescent="0.3">
      <c r="A21" s="24" t="s">
        <v>89</v>
      </c>
      <c r="B21" s="24" t="s">
        <v>92</v>
      </c>
      <c r="C21" s="31"/>
    </row>
    <row r="22" spans="1:3" x14ac:dyDescent="0.3">
      <c r="A22" s="24" t="s">
        <v>88</v>
      </c>
      <c r="B22" s="25" t="s">
        <v>66</v>
      </c>
      <c r="C22" s="25" t="s">
        <v>70</v>
      </c>
    </row>
    <row r="23" spans="1:3" x14ac:dyDescent="0.3">
      <c r="A23" s="26" t="s">
        <v>40</v>
      </c>
      <c r="B23" s="27">
        <v>733810.58999999985</v>
      </c>
      <c r="C23" s="27">
        <v>730000</v>
      </c>
    </row>
    <row r="24" spans="1:3" x14ac:dyDescent="0.3">
      <c r="A24" s="26" t="s">
        <v>24</v>
      </c>
      <c r="B24" s="27">
        <v>816426.04999999993</v>
      </c>
      <c r="C24" s="27">
        <v>780000</v>
      </c>
    </row>
    <row r="25" spans="1:3" x14ac:dyDescent="0.3">
      <c r="A25" s="26" t="s">
        <v>25</v>
      </c>
      <c r="B25" s="27">
        <v>449703.74999999988</v>
      </c>
      <c r="C25" s="27">
        <v>448676.80000000005</v>
      </c>
    </row>
    <row r="26" spans="1:3" x14ac:dyDescent="0.3">
      <c r="A26" s="26" t="s">
        <v>47</v>
      </c>
      <c r="B26" s="27">
        <v>121474.90999999997</v>
      </c>
      <c r="C26" s="27">
        <v>120640</v>
      </c>
    </row>
    <row r="27" spans="1:3" x14ac:dyDescent="0.3">
      <c r="A27" s="26" t="s">
        <v>35</v>
      </c>
      <c r="B27" s="27">
        <v>7884165.9799999986</v>
      </c>
      <c r="C27" s="27">
        <v>7847467.0000000019</v>
      </c>
    </row>
    <row r="28" spans="1:3" x14ac:dyDescent="0.3">
      <c r="A28" s="26" t="s">
        <v>45</v>
      </c>
      <c r="B28" s="27">
        <v>379850.97000000003</v>
      </c>
      <c r="C28" s="27">
        <v>358800</v>
      </c>
    </row>
    <row r="31" spans="1:3" x14ac:dyDescent="0.3">
      <c r="A31" s="24" t="s">
        <v>87</v>
      </c>
      <c r="B31" s="28" t="s">
        <v>90</v>
      </c>
      <c r="C31" s="29" t="s">
        <v>95</v>
      </c>
    </row>
    <row r="32" spans="1:3" x14ac:dyDescent="0.3">
      <c r="A32" s="25"/>
      <c r="B32" s="28"/>
    </row>
    <row r="33" spans="1:3" x14ac:dyDescent="0.3">
      <c r="A33" s="24" t="s">
        <v>89</v>
      </c>
      <c r="B33" s="24" t="s">
        <v>92</v>
      </c>
      <c r="C33" s="30"/>
    </row>
    <row r="34" spans="1:3" x14ac:dyDescent="0.3">
      <c r="A34" s="24" t="s">
        <v>88</v>
      </c>
      <c r="B34" s="25" t="s">
        <v>66</v>
      </c>
      <c r="C34" s="25" t="s">
        <v>70</v>
      </c>
    </row>
    <row r="35" spans="1:3" x14ac:dyDescent="0.3">
      <c r="A35" s="26" t="s">
        <v>57</v>
      </c>
      <c r="B35" s="27">
        <v>1063465.3800000001</v>
      </c>
      <c r="C35" s="27">
        <v>1026018.7</v>
      </c>
    </row>
    <row r="36" spans="1:3" x14ac:dyDescent="0.3">
      <c r="A36" s="26" t="s">
        <v>61</v>
      </c>
      <c r="B36" s="27">
        <v>1045657.9500000001</v>
      </c>
      <c r="C36" s="27">
        <v>1026018.7</v>
      </c>
    </row>
    <row r="37" spans="1:3" x14ac:dyDescent="0.3">
      <c r="A37" s="26" t="s">
        <v>55</v>
      </c>
      <c r="B37" s="27">
        <v>1035676.07</v>
      </c>
      <c r="C37" s="27">
        <v>1026018.7</v>
      </c>
    </row>
    <row r="38" spans="1:3" x14ac:dyDescent="0.3">
      <c r="A38" s="26" t="s">
        <v>54</v>
      </c>
      <c r="B38" s="27">
        <v>1027365.4900000003</v>
      </c>
      <c r="C38" s="27">
        <v>1026018.7</v>
      </c>
    </row>
    <row r="39" spans="1:3" x14ac:dyDescent="0.3">
      <c r="A39" s="26" t="s">
        <v>60</v>
      </c>
      <c r="B39" s="27">
        <v>1015777.3799999999</v>
      </c>
      <c r="C39" s="27">
        <v>1026018.7</v>
      </c>
    </row>
    <row r="40" spans="1:3" x14ac:dyDescent="0.3">
      <c r="A40" s="26" t="s">
        <v>59</v>
      </c>
      <c r="B40" s="27">
        <v>1025925.27</v>
      </c>
      <c r="C40" s="27">
        <v>1026018.7</v>
      </c>
    </row>
    <row r="41" spans="1:3" x14ac:dyDescent="0.3">
      <c r="A41" s="26" t="s">
        <v>56</v>
      </c>
      <c r="B41" s="27">
        <v>1035769.1399999998</v>
      </c>
      <c r="C41" s="27">
        <v>1038717.1</v>
      </c>
    </row>
    <row r="42" spans="1:3" x14ac:dyDescent="0.3">
      <c r="A42" s="26" t="s">
        <v>58</v>
      </c>
      <c r="B42" s="27">
        <v>1046600.9600000002</v>
      </c>
      <c r="C42" s="27">
        <v>1026018.7</v>
      </c>
    </row>
    <row r="43" spans="1:3" x14ac:dyDescent="0.3">
      <c r="A43" s="26" t="s">
        <v>63</v>
      </c>
      <c r="B43" s="27">
        <v>1034888.9999999998</v>
      </c>
      <c r="C43" s="27">
        <v>1026018.7</v>
      </c>
    </row>
    <row r="44" spans="1:3" x14ac:dyDescent="0.3">
      <c r="A44" s="26" t="s">
        <v>62</v>
      </c>
      <c r="B44" s="27">
        <v>1054305.6100000001</v>
      </c>
      <c r="C44" s="27">
        <v>1038717.1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Project_Notes</vt:lpstr>
      <vt:lpstr>Inputs</vt:lpstr>
      <vt:lpstr>Fact_Finance_Long</vt:lpstr>
      <vt:lpstr>Ref_Department</vt:lpstr>
      <vt:lpstr>Ref_GLAccount</vt:lpstr>
      <vt:lpstr>Ref_Date</vt:lpstr>
      <vt:lpstr>Dashboard_Summary</vt:lpstr>
      <vt:lpstr>Pivot_Instructions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Johnny Kenton</cp:lastModifiedBy>
  <dcterms:created xsi:type="dcterms:W3CDTF">2026-01-07T19:41:06Z</dcterms:created>
  <dcterms:modified xsi:type="dcterms:W3CDTF">2026-01-13T13:19:54Z</dcterms:modified>
</cp:coreProperties>
</file>